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park Group\Desktop\Final Core Files\Fitness Tracker - Final\_ Deliverables\"/>
    </mc:Choice>
  </mc:AlternateContent>
  <bookViews>
    <workbookView xWindow="0" yWindow="0" windowWidth="20490" windowHeight="7770"/>
  </bookViews>
  <sheets>
    <sheet name="Daughter_CardBO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5" i="1"/>
  <c r="J16" i="1"/>
  <c r="J17" i="1"/>
  <c r="J18" i="1"/>
  <c r="J3" i="1"/>
  <c r="Q17" i="1" l="1"/>
  <c r="Q15" i="1" l="1"/>
  <c r="O15" i="1"/>
  <c r="O4" i="1" l="1"/>
  <c r="O5" i="1"/>
  <c r="O6" i="1"/>
  <c r="O7" i="1"/>
  <c r="O8" i="1"/>
  <c r="O9" i="1"/>
  <c r="O10" i="1"/>
  <c r="O11" i="1"/>
  <c r="O12" i="1"/>
  <c r="O13" i="1"/>
  <c r="O16" i="1"/>
  <c r="O17" i="1"/>
  <c r="O3" i="1"/>
  <c r="Q4" i="1"/>
  <c r="Q8" i="1"/>
  <c r="Q12" i="1"/>
  <c r="Q3" i="1"/>
  <c r="Q5" i="1"/>
  <c r="Q6" i="1"/>
  <c r="Q7" i="1"/>
  <c r="Q9" i="1"/>
  <c r="Q10" i="1"/>
  <c r="Q11" i="1"/>
  <c r="Q13" i="1"/>
  <c r="Q16" i="1"/>
  <c r="O19" i="1" l="1"/>
</calcChain>
</file>

<file path=xl/sharedStrings.xml><?xml version="1.0" encoding="utf-8"?>
<sst xmlns="http://schemas.openxmlformats.org/spreadsheetml/2006/main" count="194" uniqueCount="133">
  <si>
    <t>Description</t>
  </si>
  <si>
    <t>Designator</t>
  </si>
  <si>
    <t>Quantity</t>
  </si>
  <si>
    <t>0.1uF</t>
  </si>
  <si>
    <t>CAP CER 0.1UF 16V X7R 0402</t>
  </si>
  <si>
    <t>C1, C2, C3, C4, C5, CF1, CF2</t>
  </si>
  <si>
    <t>Cap0402</t>
  </si>
  <si>
    <t>CC0402KRX7R7BB104</t>
  </si>
  <si>
    <t>1uF</t>
  </si>
  <si>
    <t>CAP CER 1UF 50V X7R 0603</t>
  </si>
  <si>
    <t>C6</t>
  </si>
  <si>
    <t>Cap0603</t>
  </si>
  <si>
    <t>UMK107AB7105KA-T</t>
  </si>
  <si>
    <t>CR1220-2</t>
  </si>
  <si>
    <t>SMD Battery Holders, Clips &amp; Contacts RoHS</t>
  </si>
  <si>
    <t>J1</t>
  </si>
  <si>
    <t>LED1</t>
  </si>
  <si>
    <t>LED2</t>
  </si>
  <si>
    <t>4.7K</t>
  </si>
  <si>
    <t>4.7K ±5% 1/16W ±200ppm/°C 0402 Chip Resistor - Surface Mount RoHS</t>
  </si>
  <si>
    <t>R1</t>
  </si>
  <si>
    <t>Res0402</t>
  </si>
  <si>
    <t>CR0402JF0472G</t>
  </si>
  <si>
    <t>10K</t>
  </si>
  <si>
    <t>RES 10K OHM 5% 1/10W 0402</t>
  </si>
  <si>
    <t>R2, R3, R4, R12, R13</t>
  </si>
  <si>
    <t>RK73B1ETTP103J</t>
  </si>
  <si>
    <t>100K</t>
  </si>
  <si>
    <t>RES SMD 100K OHM 0.1% 1/10W 0603</t>
  </si>
  <si>
    <t>R5, R8, R9, R10, R11</t>
  </si>
  <si>
    <t>Res0603</t>
  </si>
  <si>
    <t>RT0603BRD07100KL</t>
  </si>
  <si>
    <t>470R</t>
  </si>
  <si>
    <t>470 ±5% 1/16W ±100ppm/°C 0402 Chip Resistor - Surface Mount RoHS</t>
  </si>
  <si>
    <t>R6, R7</t>
  </si>
  <si>
    <t>RTT02471JTH</t>
  </si>
  <si>
    <t>B3FS-1012P</t>
  </si>
  <si>
    <t>SWITCH TACTILE SPST-NO 0.05A 24V</t>
  </si>
  <si>
    <t>SW1, SW2</t>
  </si>
  <si>
    <t>B3U-1000P</t>
  </si>
  <si>
    <t>SWITCH TACTILE SPST-NO 0.05A 12V</t>
  </si>
  <si>
    <t>SWG1, SWR2</t>
  </si>
  <si>
    <t>ATTINY1616-SFR</t>
  </si>
  <si>
    <t>IC MCU 8BIT 16KB FLASH 20SOIC</t>
  </si>
  <si>
    <t>U1</t>
  </si>
  <si>
    <t>RN42-I/RM</t>
  </si>
  <si>
    <t>RX TXRX MODULE BT TRC ANT SMD</t>
  </si>
  <si>
    <t>U2</t>
  </si>
  <si>
    <t>S. No.</t>
  </si>
  <si>
    <t>CommentType</t>
  </si>
  <si>
    <t>Footprint (Package)</t>
  </si>
  <si>
    <t>Manufacturer Part Number</t>
  </si>
  <si>
    <t>Manufacturer</t>
  </si>
  <si>
    <t>Value</t>
  </si>
  <si>
    <t>Total Quantity</t>
  </si>
  <si>
    <t>LCSC Quantity</t>
  </si>
  <si>
    <t>Link</t>
  </si>
  <si>
    <t>Unit Price (LCSC)</t>
  </si>
  <si>
    <t>Total Price (LCSC)</t>
  </si>
  <si>
    <t>Unit Price (Digikey)</t>
  </si>
  <si>
    <t>Total Price (Digikey)</t>
  </si>
  <si>
    <t>Remarks</t>
  </si>
  <si>
    <t>Diode</t>
  </si>
  <si>
    <t>Resistor</t>
  </si>
  <si>
    <t>Connector</t>
  </si>
  <si>
    <t>IC</t>
  </si>
  <si>
    <t>Switch</t>
  </si>
  <si>
    <t>Capacitor</t>
  </si>
  <si>
    <t>LCSC</t>
  </si>
  <si>
    <t>LIZ Elec</t>
  </si>
  <si>
    <t>NOT AT DIGIKEY</t>
  </si>
  <si>
    <t>KOA Speer Elec</t>
  </si>
  <si>
    <t>YAGEO</t>
  </si>
  <si>
    <t>RALEC</t>
  </si>
  <si>
    <t>Omron Electronics</t>
  </si>
  <si>
    <t>Q&amp;J</t>
  </si>
  <si>
    <t>Microchip Tech</t>
  </si>
  <si>
    <t>Ckmtw(Shenzhen Cankemeng)</t>
  </si>
  <si>
    <t>Taiyo Yuden</t>
  </si>
  <si>
    <t>Lite-On</t>
  </si>
  <si>
    <t xml:space="preserve">Total Component Cost </t>
  </si>
  <si>
    <t xml:space="preserve">Notes: </t>
  </si>
  <si>
    <t>Custom Charges</t>
  </si>
  <si>
    <t>1- The costing is done for Three (3) boards. All components will be calculated with multiplication factor Three (3).</t>
  </si>
  <si>
    <t>Shipping Charges</t>
  </si>
  <si>
    <t xml:space="preserve">2- Supplier costing and custom charges are added in the final cost. </t>
  </si>
  <si>
    <t xml:space="preserve">Total </t>
  </si>
  <si>
    <t xml:space="preserve">  </t>
  </si>
  <si>
    <t>CONN HEADER VERT 2POS 2.54MM</t>
  </si>
  <si>
    <t>P1, SW_1, SW_2, SW_3</t>
  </si>
  <si>
    <t>Header 1x2</t>
  </si>
  <si>
    <t>-----</t>
  </si>
  <si>
    <t>Custom</t>
  </si>
  <si>
    <t>20SOIC</t>
  </si>
  <si>
    <t>LCSC Part Number</t>
  </si>
  <si>
    <t>C60474</t>
  </si>
  <si>
    <t>C105174</t>
  </si>
  <si>
    <t>C100658</t>
  </si>
  <si>
    <t>C159873</t>
  </si>
  <si>
    <t>C122538</t>
  </si>
  <si>
    <t>C103058</t>
  </si>
  <si>
    <t>C271753</t>
  </si>
  <si>
    <t>C231329</t>
  </si>
  <si>
    <t>C70381</t>
  </si>
  <si>
    <t>C124375</t>
  </si>
  <si>
    <t>Alternate / Similar Link</t>
  </si>
  <si>
    <t>C145558</t>
  </si>
  <si>
    <t>Digikey</t>
  </si>
  <si>
    <t>Not available / Digikey link for reference</t>
  </si>
  <si>
    <t>LED RED CLEAR SMD 0805</t>
  </si>
  <si>
    <t>LED GREEN CLEAR SMD 0805</t>
  </si>
  <si>
    <t>LED 0805</t>
  </si>
  <si>
    <t>LTST-C171KRKT</t>
  </si>
  <si>
    <t>LTST-C171KGKT</t>
  </si>
  <si>
    <t>C98224</t>
  </si>
  <si>
    <t xml:space="preserve">C284871
</t>
  </si>
  <si>
    <t>Test Point ON</t>
  </si>
  <si>
    <t>P2, P3, P4, P5</t>
  </si>
  <si>
    <t>TEST POINT</t>
  </si>
  <si>
    <t>-----------</t>
  </si>
  <si>
    <t>---------</t>
  </si>
  <si>
    <t>DO NOT MOUNT</t>
  </si>
  <si>
    <t>Battary</t>
  </si>
  <si>
    <t xml:space="preserve"> 
Microchip Technology</t>
  </si>
  <si>
    <t>Electron's Remarks</t>
  </si>
  <si>
    <t>Done</t>
  </si>
  <si>
    <t>Not going to Mount</t>
  </si>
  <si>
    <t>Arranged</t>
  </si>
  <si>
    <t>Order from other Supplier</t>
  </si>
  <si>
    <t xml:space="preserve">Electron will order it. </t>
  </si>
  <si>
    <t xml:space="preserve">CR1220 Coin Cell </t>
  </si>
  <si>
    <t xml:space="preserve"> --</t>
  </si>
  <si>
    <t xml:space="preserve"> Bill Of Material (BOM) for RUHTAB SOHOTA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</si>
</sst>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164" formatCode="&quot;$&quot;#,##0.0000"/>
    <numFmt numFmtId="165" formatCode="&quot;$&quot;#,##0.00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7" tint="-0.249977111117893"/>
      </left>
      <right/>
      <top/>
      <bottom/>
      <diagonal/>
    </border>
    <border>
      <left style="thin">
        <color theme="7" tint="-0.249977111117893"/>
      </left>
      <right/>
      <top style="thin">
        <color theme="7" tint="-0.249977111117893"/>
      </top>
      <bottom style="thin">
        <color theme="7" tint="-0.249977111117893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4" fillId="2" borderId="5" xfId="0" applyFont="1" applyFill="1" applyBorder="1" applyAlignment="1">
      <alignment horizontal="center" vertical="center"/>
    </xf>
    <xf numFmtId="0" fontId="8" fillId="3" borderId="12" xfId="0" quotePrefix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165" fontId="8" fillId="3" borderId="12" xfId="0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8" fillId="0" borderId="9" xfId="0" quotePrefix="1" applyFont="1" applyBorder="1" applyAlignment="1">
      <alignment horizontal="center" vertical="center"/>
    </xf>
    <xf numFmtId="0" fontId="9" fillId="0" borderId="9" xfId="1" applyFont="1" applyBorder="1" applyAlignment="1" applyProtection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12" xfId="0" quotePrefix="1" applyFont="1" applyBorder="1" applyAlignment="1">
      <alignment horizontal="center" vertical="center"/>
    </xf>
    <xf numFmtId="0" fontId="9" fillId="0" borderId="12" xfId="1" applyFont="1" applyBorder="1" applyAlignment="1" applyProtection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0" borderId="9" xfId="1" applyFont="1" applyBorder="1" applyAlignment="1" applyProtection="1">
      <alignment horizontal="center" vertical="center" wrapText="1"/>
    </xf>
    <xf numFmtId="0" fontId="9" fillId="0" borderId="12" xfId="1" applyFont="1" applyBorder="1" applyAlignment="1" applyProtection="1">
      <alignment horizontal="center" vertical="center" wrapText="1"/>
    </xf>
    <xf numFmtId="0" fontId="8" fillId="0" borderId="1" xfId="0" quotePrefix="1" applyFont="1" applyBorder="1" applyAlignment="1">
      <alignment horizontal="center" vertical="center"/>
    </xf>
    <xf numFmtId="0" fontId="9" fillId="0" borderId="1" xfId="1" applyFont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1" applyFont="1" applyBorder="1" applyAlignment="1" applyProtection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wrapText="1"/>
    </xf>
    <xf numFmtId="6" fontId="1" fillId="2" borderId="10" xfId="0" applyNumberFormat="1" applyFont="1" applyFill="1" applyBorder="1" applyAlignment="1">
      <alignment horizontal="center"/>
    </xf>
    <xf numFmtId="165" fontId="10" fillId="3" borderId="12" xfId="0" applyNumberFormat="1" applyFont="1" applyFill="1" applyBorder="1" applyAlignment="1">
      <alignment horizontal="center" vertical="center"/>
    </xf>
    <xf numFmtId="164" fontId="10" fillId="3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9" xfId="0" quotePrefix="1" applyFont="1" applyBorder="1" applyAlignment="1">
      <alignment horizontal="left" vertical="center"/>
    </xf>
    <xf numFmtId="0" fontId="8" fillId="3" borderId="12" xfId="0" quotePrefix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8" fillId="4" borderId="9" xfId="0" quotePrefix="1" applyFont="1" applyFill="1" applyBorder="1" applyAlignment="1">
      <alignment horizontal="center" vertical="center"/>
    </xf>
    <xf numFmtId="0" fontId="8" fillId="4" borderId="12" xfId="0" quotePrefix="1" applyFont="1" applyFill="1" applyBorder="1" applyAlignment="1">
      <alignment horizontal="center" vertical="center"/>
    </xf>
    <xf numFmtId="0" fontId="8" fillId="4" borderId="1" xfId="0" quotePrefix="1" applyFont="1" applyFill="1" applyBorder="1" applyAlignment="1">
      <alignment horizontal="center" vertical="center"/>
    </xf>
    <xf numFmtId="165" fontId="8" fillId="3" borderId="18" xfId="0" applyNumberFormat="1" applyFont="1" applyFill="1" applyBorder="1" applyAlignment="1">
      <alignment horizontal="center" vertical="center"/>
    </xf>
    <xf numFmtId="0" fontId="7" fillId="0" borderId="19" xfId="0" quotePrefix="1" applyFont="1" applyBorder="1" applyAlignment="1">
      <alignment horizontal="left"/>
    </xf>
    <xf numFmtId="0" fontId="7" fillId="0" borderId="20" xfId="0" quotePrefix="1" applyFont="1" applyBorder="1" applyAlignment="1">
      <alignment horizontal="left"/>
    </xf>
    <xf numFmtId="0" fontId="7" fillId="0" borderId="21" xfId="0" quotePrefix="1" applyFont="1" applyBorder="1" applyAlignment="1">
      <alignment horizontal="left"/>
    </xf>
    <xf numFmtId="0" fontId="7" fillId="3" borderId="20" xfId="0" quotePrefix="1" applyFont="1" applyFill="1" applyBorder="1" applyAlignment="1">
      <alignment horizontal="left"/>
    </xf>
    <xf numFmtId="0" fontId="4" fillId="2" borderId="1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/>
    </xf>
    <xf numFmtId="0" fontId="9" fillId="4" borderId="9" xfId="1" applyFont="1" applyFill="1" applyBorder="1" applyAlignment="1" applyProtection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9" xfId="1" applyFont="1" applyFill="1" applyBorder="1" applyAlignment="1" applyProtection="1">
      <alignment horizontal="center" vertical="center"/>
    </xf>
    <xf numFmtId="164" fontId="8" fillId="4" borderId="9" xfId="0" applyNumberFormat="1" applyFont="1" applyFill="1" applyBorder="1" applyAlignment="1">
      <alignment horizontal="center" vertical="center"/>
    </xf>
    <xf numFmtId="165" fontId="8" fillId="4" borderId="9" xfId="0" applyNumberFormat="1" applyFont="1" applyFill="1" applyBorder="1" applyAlignment="1">
      <alignment horizontal="center" vertical="center"/>
    </xf>
    <xf numFmtId="165" fontId="10" fillId="4" borderId="9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7" fillId="4" borderId="19" xfId="0" quotePrefix="1" applyFont="1" applyFill="1" applyBorder="1" applyAlignment="1">
      <alignment horizontal="left"/>
    </xf>
    <xf numFmtId="0" fontId="6" fillId="4" borderId="9" xfId="1" applyFill="1" applyBorder="1" applyAlignment="1" applyProtection="1">
      <alignment horizontal="center" vertical="center"/>
    </xf>
    <xf numFmtId="0" fontId="7" fillId="4" borderId="20" xfId="0" quotePrefix="1" applyFont="1" applyFill="1" applyBorder="1" applyAlignment="1">
      <alignment horizontal="left"/>
    </xf>
    <xf numFmtId="0" fontId="9" fillId="4" borderId="12" xfId="1" applyFont="1" applyFill="1" applyBorder="1" applyAlignment="1" applyProtection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164" fontId="8" fillId="4" borderId="12" xfId="0" applyNumberFormat="1" applyFont="1" applyFill="1" applyBorder="1" applyAlignment="1">
      <alignment horizontal="center" vertical="center"/>
    </xf>
    <xf numFmtId="165" fontId="8" fillId="4" borderId="12" xfId="0" applyNumberFormat="1" applyFont="1" applyFill="1" applyBorder="1" applyAlignment="1">
      <alignment horizontal="center" vertical="center"/>
    </xf>
    <xf numFmtId="165" fontId="10" fillId="4" borderId="12" xfId="0" applyNumberFormat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6" fillId="3" borderId="12" xfId="1" applyFill="1" applyBorder="1" applyAlignment="1" applyProtection="1">
      <alignment horizontal="center" vertical="center"/>
    </xf>
    <xf numFmtId="0" fontId="2" fillId="0" borderId="7" xfId="0" applyFont="1" applyBorder="1" applyAlignment="1">
      <alignment horizontal="center" vertical="center"/>
    </xf>
    <xf numFmtId="165" fontId="11" fillId="4" borderId="9" xfId="0" applyNumberFormat="1" applyFont="1" applyFill="1" applyBorder="1" applyAlignment="1">
      <alignment horizontal="center" vertical="center"/>
    </xf>
    <xf numFmtId="0" fontId="9" fillId="4" borderId="12" xfId="1" applyFont="1" applyFill="1" applyBorder="1" applyAlignment="1" applyProtection="1">
      <alignment horizontal="center" vertical="center" wrapText="1"/>
    </xf>
    <xf numFmtId="165" fontId="11" fillId="4" borderId="12" xfId="0" applyNumberFormat="1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0" borderId="27" xfId="1" applyFont="1" applyBorder="1" applyAlignment="1" applyProtection="1">
      <alignment horizontal="center" vertical="center"/>
    </xf>
    <xf numFmtId="0" fontId="6" fillId="4" borderId="1" xfId="1" applyFill="1" applyBorder="1" applyAlignment="1" applyProtection="1">
      <alignment horizontal="center" vertical="center"/>
    </xf>
    <xf numFmtId="0" fontId="6" fillId="4" borderId="18" xfId="1" applyFill="1" applyBorder="1" applyAlignment="1" applyProtection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9" fillId="4" borderId="28" xfId="1" quotePrefix="1" applyFont="1" applyFill="1" applyBorder="1" applyAlignment="1" applyProtection="1">
      <alignment horizontal="center" vertical="center" wrapText="1"/>
    </xf>
    <xf numFmtId="0" fontId="10" fillId="4" borderId="28" xfId="0" quotePrefix="1" applyFont="1" applyFill="1" applyBorder="1" applyAlignment="1">
      <alignment horizontal="center" vertical="center"/>
    </xf>
    <xf numFmtId="0" fontId="6" fillId="4" borderId="28" xfId="1" quotePrefix="1" applyFill="1" applyBorder="1" applyAlignment="1" applyProtection="1">
      <alignment horizontal="center" vertical="center"/>
    </xf>
    <xf numFmtId="164" fontId="8" fillId="4" borderId="28" xfId="0" quotePrefix="1" applyNumberFormat="1" applyFont="1" applyFill="1" applyBorder="1" applyAlignment="1">
      <alignment horizontal="center" vertical="center"/>
    </xf>
    <xf numFmtId="165" fontId="8" fillId="4" borderId="28" xfId="0" quotePrefix="1" applyNumberFormat="1" applyFont="1" applyFill="1" applyBorder="1" applyAlignment="1">
      <alignment horizontal="center" vertical="center"/>
    </xf>
    <xf numFmtId="165" fontId="10" fillId="4" borderId="28" xfId="0" quotePrefix="1" applyNumberFormat="1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8" fillId="4" borderId="30" xfId="0" quotePrefix="1" applyFont="1" applyFill="1" applyBorder="1" applyAlignment="1">
      <alignment horizontal="center" vertical="center"/>
    </xf>
    <xf numFmtId="0" fontId="7" fillId="4" borderId="31" xfId="0" quotePrefix="1" applyFont="1" applyFill="1" applyBorder="1" applyAlignment="1">
      <alignment horizontal="left"/>
    </xf>
    <xf numFmtId="0" fontId="10" fillId="0" borderId="9" xfId="0" quotePrefix="1" applyFont="1" applyBorder="1" applyAlignment="1">
      <alignment horizontal="left" vertical="center"/>
    </xf>
    <xf numFmtId="0" fontId="10" fillId="0" borderId="12" xfId="0" quotePrefix="1" applyFont="1" applyBorder="1" applyAlignment="1">
      <alignment horizontal="left" vertical="center"/>
    </xf>
    <xf numFmtId="0" fontId="10" fillId="4" borderId="9" xfId="0" quotePrefix="1" applyFont="1" applyFill="1" applyBorder="1" applyAlignment="1">
      <alignment horizontal="left" vertical="center"/>
    </xf>
    <xf numFmtId="0" fontId="10" fillId="4" borderId="12" xfId="0" quotePrefix="1" applyFont="1" applyFill="1" applyBorder="1" applyAlignment="1">
      <alignment horizontal="left" vertical="center"/>
    </xf>
    <xf numFmtId="0" fontId="10" fillId="0" borderId="1" xfId="0" quotePrefix="1" applyFont="1" applyBorder="1" applyAlignment="1">
      <alignment horizontal="left" vertical="center"/>
    </xf>
    <xf numFmtId="0" fontId="7" fillId="4" borderId="21" xfId="0" quotePrefix="1" applyFont="1" applyFill="1" applyBorder="1" applyAlignment="1">
      <alignment horizontal="left"/>
    </xf>
    <xf numFmtId="0" fontId="9" fillId="3" borderId="27" xfId="1" applyFont="1" applyFill="1" applyBorder="1" applyAlignment="1" applyProtection="1">
      <alignment horizontal="center" vertical="center"/>
    </xf>
    <xf numFmtId="0" fontId="7" fillId="3" borderId="32" xfId="0" quotePrefix="1" applyFont="1" applyFill="1" applyBorder="1" applyAlignment="1">
      <alignment horizontal="left"/>
    </xf>
    <xf numFmtId="0" fontId="10" fillId="3" borderId="28" xfId="0" quotePrefix="1" applyFont="1" applyFill="1" applyBorder="1" applyAlignment="1">
      <alignment horizontal="left" vertical="center"/>
    </xf>
    <xf numFmtId="0" fontId="8" fillId="3" borderId="28" xfId="0" quotePrefix="1" applyFont="1" applyFill="1" applyBorder="1" applyAlignment="1">
      <alignment horizontal="center" vertical="center"/>
    </xf>
    <xf numFmtId="0" fontId="8" fillId="3" borderId="27" xfId="0" quotePrefix="1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3" fillId="3" borderId="27" xfId="1" applyFont="1" applyFill="1" applyBorder="1" applyAlignment="1" applyProtection="1">
      <alignment horizontal="center" vertical="center"/>
    </xf>
    <xf numFmtId="164" fontId="8" fillId="3" borderId="27" xfId="0" applyNumberFormat="1" applyFont="1" applyFill="1" applyBorder="1" applyAlignment="1">
      <alignment horizontal="center" vertical="center"/>
    </xf>
    <xf numFmtId="165" fontId="8" fillId="3" borderId="27" xfId="0" applyNumberFormat="1" applyFont="1" applyFill="1" applyBorder="1" applyAlignment="1">
      <alignment horizontal="center" vertical="center"/>
    </xf>
    <xf numFmtId="165" fontId="11" fillId="3" borderId="27" xfId="0" applyNumberFormat="1" applyFont="1" applyFill="1" applyBorder="1" applyAlignment="1">
      <alignment horizontal="center" vertical="center"/>
    </xf>
    <xf numFmtId="165" fontId="10" fillId="3" borderId="27" xfId="0" applyNumberFormat="1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33" xfId="0" quotePrefix="1" applyFont="1" applyFill="1" applyBorder="1" applyAlignment="1">
      <alignment horizontal="left"/>
    </xf>
    <xf numFmtId="0" fontId="8" fillId="3" borderId="18" xfId="0" quotePrefix="1" applyFont="1" applyFill="1" applyBorder="1" applyAlignment="1">
      <alignment horizontal="left" vertical="center"/>
    </xf>
    <xf numFmtId="0" fontId="10" fillId="3" borderId="1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9" fillId="3" borderId="18" xfId="1" applyFont="1" applyFill="1" applyBorder="1" applyAlignment="1" applyProtection="1">
      <alignment horizontal="center" vertical="center"/>
    </xf>
    <xf numFmtId="0" fontId="1" fillId="2" borderId="17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0" fillId="0" borderId="35" xfId="0" applyBorder="1"/>
    <xf numFmtId="0" fontId="10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High-Precision-Low-TCR-SMD-Resistors_100KR-1003-0-1_C122538.html" TargetMode="External"/><Relationship Id="rId13" Type="http://schemas.openxmlformats.org/officeDocument/2006/relationships/hyperlink" Target="https://lcsc.com/brand-detail/413.html" TargetMode="External"/><Relationship Id="rId18" Type="http://schemas.openxmlformats.org/officeDocument/2006/relationships/hyperlink" Target="https://lcsc.com/brand-detail/396.html" TargetMode="External"/><Relationship Id="rId26" Type="http://schemas.openxmlformats.org/officeDocument/2006/relationships/hyperlink" Target="https://lcsc.com/product-detail/Light-Emitting-Diodes-LED_Lite-On-LTST-C171KGKT_C98224.html" TargetMode="External"/><Relationship Id="rId3" Type="http://schemas.openxmlformats.org/officeDocument/2006/relationships/hyperlink" Target="https://lcsc.com/brand-detail/1165.html" TargetMode="External"/><Relationship Id="rId21" Type="http://schemas.openxmlformats.org/officeDocument/2006/relationships/hyperlink" Target="https://lcsc.com/product-detail/Pin-Header-Female-Header_Ckmtw-Shenzhen-Cankemeng-C124375_C124375.html" TargetMode="External"/><Relationship Id="rId7" Type="http://schemas.openxmlformats.org/officeDocument/2006/relationships/hyperlink" Target="https://lcsc.com/product-detail/High-Precision-Low-TCR-SMD-Resistors_100KR-1003-0-1_C122538.html" TargetMode="External"/><Relationship Id="rId12" Type="http://schemas.openxmlformats.org/officeDocument/2006/relationships/hyperlink" Target="https://lcsc.com/product-detail/Others_Omron-Electronics_B3FS-1012P_Omron-Electronics-B3FS-1012P_C271753.html" TargetMode="External"/><Relationship Id="rId17" Type="http://schemas.openxmlformats.org/officeDocument/2006/relationships/hyperlink" Target="https://lcsc.com/product-detail/MICROCHIP_Microchip-Tech-ATTINY1616-SFR_C145558.html" TargetMode="External"/><Relationship Id="rId25" Type="http://schemas.openxmlformats.org/officeDocument/2006/relationships/hyperlink" Target="https://lcsc.com/brand-detail/68.html" TargetMode="External"/><Relationship Id="rId2" Type="http://schemas.openxmlformats.org/officeDocument/2006/relationships/hyperlink" Target="https://lcsc.com/product-detail/Multilayer-Ceramic-Capacitors-MLCC-SMD-SMT_Taiyo-Yuden-UMK107AB7105KA-T_C105174.html" TargetMode="External"/><Relationship Id="rId16" Type="http://schemas.openxmlformats.org/officeDocument/2006/relationships/hyperlink" Target="https://lcsc.com/brand-detail/169.html" TargetMode="External"/><Relationship Id="rId20" Type="http://schemas.openxmlformats.org/officeDocument/2006/relationships/hyperlink" Target="https://www.digikey.com/en/supplier-centers/wurth-electronics" TargetMode="External"/><Relationship Id="rId1" Type="http://schemas.openxmlformats.org/officeDocument/2006/relationships/hyperlink" Target="https://lcsc.com/product-detail/Multilayer-Ceramic-Capacitors-MLCC-SMD-SMT_100nF-104-10-16V_C60474.html" TargetMode="External"/><Relationship Id="rId6" Type="http://schemas.openxmlformats.org/officeDocument/2006/relationships/hyperlink" Target="https://lcsc.com/product-detail/Chip-Resistor-Surface-Mount_10KR-103-5_C159873.html" TargetMode="External"/><Relationship Id="rId11" Type="http://schemas.openxmlformats.org/officeDocument/2006/relationships/hyperlink" Target="https://lcsc.com/brand-detail/413.html" TargetMode="External"/><Relationship Id="rId24" Type="http://schemas.openxmlformats.org/officeDocument/2006/relationships/hyperlink" Target="https://lcsc.com/brand-detail/68.html" TargetMode="External"/><Relationship Id="rId5" Type="http://schemas.openxmlformats.org/officeDocument/2006/relationships/hyperlink" Target="https://lcsc.com/brand-detail/842.html" TargetMode="External"/><Relationship Id="rId15" Type="http://schemas.openxmlformats.org/officeDocument/2006/relationships/hyperlink" Target="https://lcsc.com/brand-detail/838.html" TargetMode="External"/><Relationship Id="rId23" Type="http://schemas.openxmlformats.org/officeDocument/2006/relationships/hyperlink" Target="https://www.digikey.com/en/products/detail/microchip-technology/RN42-I-RM/2357707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lcsc.com/product-detail/Chip-Resistor-Surface-Mount_RALEC-RTT02471JTH_C103058.html" TargetMode="External"/><Relationship Id="rId19" Type="http://schemas.openxmlformats.org/officeDocument/2006/relationships/hyperlink" Target="https://lcsc.com/brand-detail/392.html" TargetMode="External"/><Relationship Id="rId4" Type="http://schemas.openxmlformats.org/officeDocument/2006/relationships/hyperlink" Target="https://lcsc.com/product-detail/Chip-Resistor-Surface-Mount_LIZ-Elec-CR0402JF0472G_C100658.html" TargetMode="External"/><Relationship Id="rId9" Type="http://schemas.openxmlformats.org/officeDocument/2006/relationships/hyperlink" Target="https://lcsc.com/brand-detail/111.html" TargetMode="External"/><Relationship Id="rId14" Type="http://schemas.openxmlformats.org/officeDocument/2006/relationships/hyperlink" Target="https://lcsc.com/product-detail/Others_Omron-Electronics_B3U-1000P_Omron-Electronics-B3U-1000P_C231329.html" TargetMode="External"/><Relationship Id="rId22" Type="http://schemas.openxmlformats.org/officeDocument/2006/relationships/hyperlink" Target="https://lcsc.com/product-detail/Battery-Holders-Clips-Contacts_Q-J-CR1220-2_C70381.html" TargetMode="External"/><Relationship Id="rId27" Type="http://schemas.openxmlformats.org/officeDocument/2006/relationships/hyperlink" Target="https://lcsc.com/product-detail/Light-Emitting-Diodes-LED_Lite-On-LTST-C171KRKT_C28487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zoomScale="95" zoomScaleNormal="95" workbookViewId="0">
      <selection activeCell="D6" sqref="D6"/>
    </sheetView>
  </sheetViews>
  <sheetFormatPr defaultRowHeight="15" x14ac:dyDescent="0.25"/>
  <cols>
    <col min="1" max="1" width="6.7109375" style="39" bestFit="1" customWidth="1"/>
    <col min="2" max="2" width="15.28515625" bestFit="1" customWidth="1"/>
    <col min="3" max="3" width="54.7109375" bestFit="1" customWidth="1"/>
    <col min="4" max="4" width="30.42578125" style="42" bestFit="1" customWidth="1"/>
    <col min="5" max="5" width="20.5703125" bestFit="1" customWidth="1"/>
    <col min="6" max="6" width="28.42578125" bestFit="1" customWidth="1"/>
    <col min="7" max="7" width="24.28515625" bestFit="1" customWidth="1"/>
    <col min="8" max="8" width="13.7109375" bestFit="1" customWidth="1"/>
    <col min="10" max="10" width="15.42578125" bestFit="1" customWidth="1"/>
    <col min="11" max="11" width="14.85546875" bestFit="1" customWidth="1"/>
    <col min="12" max="12" width="19" bestFit="1" customWidth="1"/>
    <col min="13" max="13" width="7.5703125" bestFit="1" customWidth="1"/>
    <col min="14" max="14" width="17.28515625" bestFit="1" customWidth="1"/>
    <col min="15" max="15" width="18.140625" bestFit="1" customWidth="1"/>
    <col min="16" max="16" width="20" bestFit="1" customWidth="1"/>
    <col min="17" max="17" width="20.85546875" bestFit="1" customWidth="1"/>
    <col min="18" max="18" width="35.140625" bestFit="1" customWidth="1"/>
    <col min="19" max="19" width="35.140625" customWidth="1"/>
  </cols>
  <sheetData>
    <row r="1" spans="1:20" ht="19.5" thickBot="1" x14ac:dyDescent="0.3">
      <c r="A1" s="139" t="s">
        <v>132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</row>
    <row r="2" spans="1:20" ht="16.5" thickBot="1" x14ac:dyDescent="0.3">
      <c r="A2" s="52" t="s">
        <v>48</v>
      </c>
      <c r="B2" s="51" t="s">
        <v>49</v>
      </c>
      <c r="C2" s="53" t="s">
        <v>0</v>
      </c>
      <c r="D2" s="51" t="s">
        <v>1</v>
      </c>
      <c r="E2" s="54" t="s">
        <v>50</v>
      </c>
      <c r="F2" s="51" t="s">
        <v>51</v>
      </c>
      <c r="G2" s="54" t="s">
        <v>52</v>
      </c>
      <c r="H2" s="51" t="s">
        <v>53</v>
      </c>
      <c r="I2" s="54" t="s">
        <v>2</v>
      </c>
      <c r="J2" s="51" t="s">
        <v>54</v>
      </c>
      <c r="K2" s="54" t="s">
        <v>55</v>
      </c>
      <c r="L2" s="54" t="s">
        <v>94</v>
      </c>
      <c r="M2" s="51" t="s">
        <v>56</v>
      </c>
      <c r="N2" s="51" t="s">
        <v>57</v>
      </c>
      <c r="O2" s="51" t="s">
        <v>58</v>
      </c>
      <c r="P2" s="51" t="s">
        <v>59</v>
      </c>
      <c r="Q2" s="51" t="s">
        <v>60</v>
      </c>
      <c r="R2" s="141" t="s">
        <v>61</v>
      </c>
      <c r="S2" s="142" t="s">
        <v>124</v>
      </c>
      <c r="T2" s="143"/>
    </row>
    <row r="3" spans="1:20" ht="16.5" thickBot="1" x14ac:dyDescent="0.3">
      <c r="A3" s="1">
        <v>1</v>
      </c>
      <c r="B3" s="124" t="s">
        <v>67</v>
      </c>
      <c r="C3" s="47" t="s">
        <v>4</v>
      </c>
      <c r="D3" s="94" t="s">
        <v>5</v>
      </c>
      <c r="E3" s="7" t="s">
        <v>6</v>
      </c>
      <c r="F3" s="43" t="s">
        <v>7</v>
      </c>
      <c r="G3" s="8" t="s">
        <v>72</v>
      </c>
      <c r="H3" s="7" t="s">
        <v>3</v>
      </c>
      <c r="I3" s="9">
        <v>7</v>
      </c>
      <c r="J3" s="10">
        <f>I3*3</f>
        <v>21</v>
      </c>
      <c r="K3" s="10">
        <v>100</v>
      </c>
      <c r="L3" s="10" t="s">
        <v>95</v>
      </c>
      <c r="M3" s="8" t="s">
        <v>68</v>
      </c>
      <c r="N3" s="31">
        <v>9.6400000000000001E-4</v>
      </c>
      <c r="O3" s="11">
        <f>N3*K3</f>
        <v>9.64E-2</v>
      </c>
      <c r="P3" s="11">
        <v>0.1</v>
      </c>
      <c r="Q3" s="12">
        <f>P3*J3</f>
        <v>2.1</v>
      </c>
      <c r="R3" s="13"/>
      <c r="S3" s="136" t="s">
        <v>125</v>
      </c>
    </row>
    <row r="4" spans="1:20" ht="16.5" thickBot="1" x14ac:dyDescent="0.3">
      <c r="A4" s="1">
        <v>2</v>
      </c>
      <c r="B4" s="125"/>
      <c r="C4" s="48" t="s">
        <v>9</v>
      </c>
      <c r="D4" s="95" t="s">
        <v>10</v>
      </c>
      <c r="E4" s="14" t="s">
        <v>11</v>
      </c>
      <c r="F4" s="44" t="s">
        <v>12</v>
      </c>
      <c r="G4" s="15" t="s">
        <v>78</v>
      </c>
      <c r="H4" s="14" t="s">
        <v>8</v>
      </c>
      <c r="I4" s="16">
        <v>1</v>
      </c>
      <c r="J4" s="10">
        <f t="shared" ref="J4:J18" si="0">I4*3</f>
        <v>3</v>
      </c>
      <c r="K4" s="17">
        <v>20</v>
      </c>
      <c r="L4" s="17" t="s">
        <v>96</v>
      </c>
      <c r="M4" s="81" t="s">
        <v>68</v>
      </c>
      <c r="N4" s="32">
        <v>1.8817E-2</v>
      </c>
      <c r="O4" s="18">
        <f t="shared" ref="O4:O18" si="1">N4*K4</f>
        <v>0.37634000000000001</v>
      </c>
      <c r="P4" s="18">
        <v>0.28000000000000003</v>
      </c>
      <c r="Q4" s="19">
        <f t="shared" ref="Q4:Q16" si="2">P4*J4</f>
        <v>0.84000000000000008</v>
      </c>
      <c r="R4" s="78"/>
      <c r="S4" s="136" t="s">
        <v>125</v>
      </c>
    </row>
    <row r="5" spans="1:20" ht="16.5" thickBot="1" x14ac:dyDescent="0.3">
      <c r="A5" s="1">
        <v>3</v>
      </c>
      <c r="B5" s="126" t="s">
        <v>62</v>
      </c>
      <c r="C5" s="49" t="s">
        <v>109</v>
      </c>
      <c r="D5" s="96" t="s">
        <v>16</v>
      </c>
      <c r="E5" s="23" t="s">
        <v>111</v>
      </c>
      <c r="F5" s="45" t="s">
        <v>112</v>
      </c>
      <c r="G5" s="55" t="s">
        <v>79</v>
      </c>
      <c r="H5" s="43" t="s">
        <v>91</v>
      </c>
      <c r="I5" s="56">
        <v>1</v>
      </c>
      <c r="J5" s="10">
        <f t="shared" si="0"/>
        <v>3</v>
      </c>
      <c r="K5" s="57">
        <v>20</v>
      </c>
      <c r="L5" s="57" t="s">
        <v>115</v>
      </c>
      <c r="M5" s="82" t="s">
        <v>68</v>
      </c>
      <c r="N5" s="59">
        <v>2.1493999999999999E-2</v>
      </c>
      <c r="O5" s="60">
        <f>N5*K5</f>
        <v>0.42987999999999998</v>
      </c>
      <c r="P5" s="75">
        <v>0.28000000000000003</v>
      </c>
      <c r="Q5" s="61">
        <f t="shared" si="2"/>
        <v>0.84000000000000008</v>
      </c>
      <c r="R5" s="80"/>
      <c r="S5" s="136" t="s">
        <v>125</v>
      </c>
    </row>
    <row r="6" spans="1:20" ht="16.5" thickBot="1" x14ac:dyDescent="0.3">
      <c r="A6" s="1">
        <v>4</v>
      </c>
      <c r="B6" s="125"/>
      <c r="C6" s="49" t="s">
        <v>110</v>
      </c>
      <c r="D6" s="97" t="s">
        <v>17</v>
      </c>
      <c r="E6" s="23" t="s">
        <v>111</v>
      </c>
      <c r="F6" s="45" t="s">
        <v>113</v>
      </c>
      <c r="G6" s="76" t="s">
        <v>79</v>
      </c>
      <c r="H6" s="44" t="s">
        <v>91</v>
      </c>
      <c r="I6" s="67">
        <v>1</v>
      </c>
      <c r="J6" s="10">
        <f t="shared" si="0"/>
        <v>3</v>
      </c>
      <c r="K6" s="68">
        <v>20</v>
      </c>
      <c r="L6" s="68" t="s">
        <v>114</v>
      </c>
      <c r="M6" s="83" t="s">
        <v>68</v>
      </c>
      <c r="N6" s="69">
        <v>1.8991999999999998E-2</v>
      </c>
      <c r="O6" s="70">
        <f>N6*K6</f>
        <v>0.37983999999999996</v>
      </c>
      <c r="P6" s="77">
        <v>0.28000000000000003</v>
      </c>
      <c r="Q6" s="71">
        <f t="shared" si="2"/>
        <v>0.84000000000000008</v>
      </c>
      <c r="R6" s="79"/>
      <c r="S6" s="136" t="s">
        <v>125</v>
      </c>
    </row>
    <row r="7" spans="1:20" ht="16.5" thickBot="1" x14ac:dyDescent="0.3">
      <c r="A7" s="1">
        <v>5</v>
      </c>
      <c r="B7" s="127" t="s">
        <v>63</v>
      </c>
      <c r="C7" s="63" t="s">
        <v>19</v>
      </c>
      <c r="D7" s="96" t="s">
        <v>20</v>
      </c>
      <c r="E7" s="43" t="s">
        <v>21</v>
      </c>
      <c r="F7" s="43" t="s">
        <v>22</v>
      </c>
      <c r="G7" s="55" t="s">
        <v>69</v>
      </c>
      <c r="H7" s="43" t="s">
        <v>18</v>
      </c>
      <c r="I7" s="56">
        <v>1</v>
      </c>
      <c r="J7" s="10">
        <f t="shared" si="0"/>
        <v>3</v>
      </c>
      <c r="K7" s="57">
        <v>50</v>
      </c>
      <c r="L7" s="57" t="s">
        <v>97</v>
      </c>
      <c r="M7" s="58" t="s">
        <v>68</v>
      </c>
      <c r="N7" s="59">
        <v>3.6719999999999999E-3</v>
      </c>
      <c r="O7" s="60">
        <f t="shared" si="1"/>
        <v>0.18359999999999999</v>
      </c>
      <c r="P7" s="61"/>
      <c r="Q7" s="61">
        <f t="shared" si="2"/>
        <v>0</v>
      </c>
      <c r="R7" s="62" t="s">
        <v>70</v>
      </c>
      <c r="S7" s="136" t="s">
        <v>125</v>
      </c>
    </row>
    <row r="8" spans="1:20" ht="16.5" thickBot="1" x14ac:dyDescent="0.3">
      <c r="A8" s="1">
        <v>6</v>
      </c>
      <c r="B8" s="128"/>
      <c r="C8" s="49" t="s">
        <v>24</v>
      </c>
      <c r="D8" s="98" t="s">
        <v>25</v>
      </c>
      <c r="E8" s="23" t="s">
        <v>21</v>
      </c>
      <c r="F8" s="45" t="s">
        <v>26</v>
      </c>
      <c r="G8" s="24" t="s">
        <v>71</v>
      </c>
      <c r="H8" s="23" t="s">
        <v>23</v>
      </c>
      <c r="I8" s="25">
        <v>5</v>
      </c>
      <c r="J8" s="10">
        <f t="shared" si="0"/>
        <v>15</v>
      </c>
      <c r="K8" s="26">
        <v>100</v>
      </c>
      <c r="L8" s="26" t="s">
        <v>98</v>
      </c>
      <c r="M8" s="27" t="s">
        <v>68</v>
      </c>
      <c r="N8" s="33">
        <v>2.2490000000000001E-3</v>
      </c>
      <c r="O8" s="28">
        <f t="shared" si="1"/>
        <v>0.22490000000000002</v>
      </c>
      <c r="P8" s="28">
        <v>0.1</v>
      </c>
      <c r="Q8" s="29">
        <f t="shared" si="2"/>
        <v>1.5</v>
      </c>
      <c r="R8" s="30"/>
      <c r="S8" s="136" t="s">
        <v>125</v>
      </c>
    </row>
    <row r="9" spans="1:20" ht="16.5" thickBot="1" x14ac:dyDescent="0.3">
      <c r="A9" s="1">
        <v>7</v>
      </c>
      <c r="B9" s="128"/>
      <c r="C9" s="49" t="s">
        <v>28</v>
      </c>
      <c r="D9" s="98" t="s">
        <v>29</v>
      </c>
      <c r="E9" s="23" t="s">
        <v>30</v>
      </c>
      <c r="F9" s="45" t="s">
        <v>31</v>
      </c>
      <c r="G9" s="24" t="s">
        <v>72</v>
      </c>
      <c r="H9" s="23" t="s">
        <v>27</v>
      </c>
      <c r="I9" s="25">
        <v>5</v>
      </c>
      <c r="J9" s="10">
        <f t="shared" si="0"/>
        <v>15</v>
      </c>
      <c r="K9" s="26">
        <v>20</v>
      </c>
      <c r="L9" s="26" t="s">
        <v>99</v>
      </c>
      <c r="M9" s="27" t="s">
        <v>68</v>
      </c>
      <c r="N9" s="33">
        <v>2.4726000000000001E-2</v>
      </c>
      <c r="O9" s="28">
        <f t="shared" si="1"/>
        <v>0.49452000000000002</v>
      </c>
      <c r="P9" s="28">
        <v>0.33</v>
      </c>
      <c r="Q9" s="29">
        <f t="shared" si="2"/>
        <v>4.95</v>
      </c>
      <c r="R9" s="30"/>
      <c r="S9" s="136" t="s">
        <v>125</v>
      </c>
    </row>
    <row r="10" spans="1:20" ht="16.5" thickBot="1" x14ac:dyDescent="0.3">
      <c r="A10" s="1">
        <v>8</v>
      </c>
      <c r="B10" s="129"/>
      <c r="C10" s="65" t="s">
        <v>33</v>
      </c>
      <c r="D10" s="97" t="s">
        <v>34</v>
      </c>
      <c r="E10" s="44" t="s">
        <v>21</v>
      </c>
      <c r="F10" s="44" t="s">
        <v>35</v>
      </c>
      <c r="G10" s="66" t="s">
        <v>73</v>
      </c>
      <c r="H10" s="44" t="s">
        <v>32</v>
      </c>
      <c r="I10" s="67">
        <v>2</v>
      </c>
      <c r="J10" s="10">
        <f t="shared" si="0"/>
        <v>6</v>
      </c>
      <c r="K10" s="68">
        <v>100</v>
      </c>
      <c r="L10" s="68" t="s">
        <v>100</v>
      </c>
      <c r="M10" s="66" t="s">
        <v>68</v>
      </c>
      <c r="N10" s="69">
        <v>2.261E-3</v>
      </c>
      <c r="O10" s="70">
        <f t="shared" si="1"/>
        <v>0.2261</v>
      </c>
      <c r="P10" s="71"/>
      <c r="Q10" s="71">
        <f t="shared" si="2"/>
        <v>0</v>
      </c>
      <c r="R10" s="72" t="s">
        <v>70</v>
      </c>
      <c r="S10" s="136" t="s">
        <v>125</v>
      </c>
    </row>
    <row r="11" spans="1:20" ht="16.5" thickBot="1" x14ac:dyDescent="0.3">
      <c r="A11" s="1">
        <v>9</v>
      </c>
      <c r="B11" s="127" t="s">
        <v>66</v>
      </c>
      <c r="C11" s="47" t="s">
        <v>37</v>
      </c>
      <c r="D11" s="94" t="s">
        <v>38</v>
      </c>
      <c r="E11" s="7" t="s">
        <v>92</v>
      </c>
      <c r="F11" s="43" t="s">
        <v>36</v>
      </c>
      <c r="G11" s="21" t="s">
        <v>74</v>
      </c>
      <c r="H11" s="7" t="s">
        <v>91</v>
      </c>
      <c r="I11" s="9">
        <v>2</v>
      </c>
      <c r="J11" s="10">
        <f t="shared" si="0"/>
        <v>6</v>
      </c>
      <c r="K11" s="10">
        <v>8</v>
      </c>
      <c r="L11" s="10" t="s">
        <v>101</v>
      </c>
      <c r="M11" s="8" t="s">
        <v>68</v>
      </c>
      <c r="N11" s="31">
        <v>0.22368299999999999</v>
      </c>
      <c r="O11" s="11">
        <f t="shared" si="1"/>
        <v>1.7894639999999999</v>
      </c>
      <c r="P11" s="11">
        <v>0.59</v>
      </c>
      <c r="Q11" s="12">
        <f t="shared" si="2"/>
        <v>3.54</v>
      </c>
      <c r="R11" s="13"/>
      <c r="S11" s="136" t="s">
        <v>125</v>
      </c>
    </row>
    <row r="12" spans="1:20" ht="16.5" thickBot="1" x14ac:dyDescent="0.3">
      <c r="A12" s="1">
        <v>10</v>
      </c>
      <c r="B12" s="129"/>
      <c r="C12" s="48" t="s">
        <v>40</v>
      </c>
      <c r="D12" s="95" t="s">
        <v>41</v>
      </c>
      <c r="E12" s="14" t="s">
        <v>92</v>
      </c>
      <c r="F12" s="44" t="s">
        <v>39</v>
      </c>
      <c r="G12" s="22" t="s">
        <v>74</v>
      </c>
      <c r="H12" s="14" t="s">
        <v>91</v>
      </c>
      <c r="I12" s="16">
        <v>2</v>
      </c>
      <c r="J12" s="10">
        <f t="shared" si="0"/>
        <v>6</v>
      </c>
      <c r="K12" s="17">
        <v>8</v>
      </c>
      <c r="L12" s="17" t="s">
        <v>102</v>
      </c>
      <c r="M12" s="15" t="s">
        <v>68</v>
      </c>
      <c r="N12" s="32">
        <v>0.32</v>
      </c>
      <c r="O12" s="18">
        <f t="shared" si="1"/>
        <v>2.56</v>
      </c>
      <c r="P12" s="18">
        <v>0.92</v>
      </c>
      <c r="Q12" s="19">
        <f t="shared" si="2"/>
        <v>5.5200000000000005</v>
      </c>
      <c r="R12" s="20"/>
      <c r="S12" s="136" t="s">
        <v>125</v>
      </c>
    </row>
    <row r="13" spans="1:20" ht="16.5" thickBot="1" x14ac:dyDescent="0.3">
      <c r="A13" s="1">
        <v>11</v>
      </c>
      <c r="B13" s="127" t="s">
        <v>64</v>
      </c>
      <c r="C13" s="93" t="s">
        <v>14</v>
      </c>
      <c r="D13" s="96" t="s">
        <v>15</v>
      </c>
      <c r="E13" s="43" t="s">
        <v>92</v>
      </c>
      <c r="F13" s="43" t="s">
        <v>13</v>
      </c>
      <c r="G13" s="55" t="s">
        <v>75</v>
      </c>
      <c r="H13" s="92" t="s">
        <v>91</v>
      </c>
      <c r="I13" s="56">
        <v>1</v>
      </c>
      <c r="J13" s="10">
        <f t="shared" si="0"/>
        <v>3</v>
      </c>
      <c r="K13" s="57">
        <v>5</v>
      </c>
      <c r="L13" s="57" t="s">
        <v>103</v>
      </c>
      <c r="M13" s="64" t="s">
        <v>68</v>
      </c>
      <c r="N13" s="59">
        <v>0.204317</v>
      </c>
      <c r="O13" s="60">
        <f t="shared" si="1"/>
        <v>1.021585</v>
      </c>
      <c r="P13" s="61"/>
      <c r="Q13" s="61">
        <f t="shared" si="2"/>
        <v>0</v>
      </c>
      <c r="R13" s="62"/>
      <c r="S13" s="136" t="s">
        <v>125</v>
      </c>
    </row>
    <row r="14" spans="1:20" ht="16.5" thickBot="1" x14ac:dyDescent="0.3">
      <c r="A14" s="1">
        <v>12</v>
      </c>
      <c r="B14" s="128"/>
      <c r="C14" s="99" t="s">
        <v>116</v>
      </c>
      <c r="D14" s="98" t="s">
        <v>117</v>
      </c>
      <c r="E14" s="23" t="s">
        <v>92</v>
      </c>
      <c r="F14" s="45" t="s">
        <v>118</v>
      </c>
      <c r="G14" s="85" t="s">
        <v>119</v>
      </c>
      <c r="H14" s="45" t="s">
        <v>91</v>
      </c>
      <c r="I14" s="84">
        <v>4</v>
      </c>
      <c r="J14" s="86" t="s">
        <v>120</v>
      </c>
      <c r="K14" s="86" t="s">
        <v>120</v>
      </c>
      <c r="L14" s="86" t="s">
        <v>119</v>
      </c>
      <c r="M14" s="87" t="s">
        <v>91</v>
      </c>
      <c r="N14" s="88" t="s">
        <v>91</v>
      </c>
      <c r="O14" s="89" t="s">
        <v>91</v>
      </c>
      <c r="P14" s="90" t="s">
        <v>91</v>
      </c>
      <c r="Q14" s="90" t="s">
        <v>91</v>
      </c>
      <c r="R14" s="91" t="s">
        <v>121</v>
      </c>
      <c r="S14" s="137" t="s">
        <v>126</v>
      </c>
    </row>
    <row r="15" spans="1:20" ht="16.5" thickBot="1" x14ac:dyDescent="0.3">
      <c r="A15" s="1">
        <v>13</v>
      </c>
      <c r="B15" s="128"/>
      <c r="C15" s="101" t="s">
        <v>88</v>
      </c>
      <c r="D15" s="102" t="s">
        <v>89</v>
      </c>
      <c r="E15" s="103" t="s">
        <v>92</v>
      </c>
      <c r="F15" s="103" t="s">
        <v>90</v>
      </c>
      <c r="G15" s="100" t="s">
        <v>77</v>
      </c>
      <c r="H15" s="104" t="s">
        <v>91</v>
      </c>
      <c r="I15" s="105">
        <v>4</v>
      </c>
      <c r="J15" s="144">
        <f t="shared" si="0"/>
        <v>12</v>
      </c>
      <c r="K15" s="106">
        <v>50</v>
      </c>
      <c r="L15" s="106" t="s">
        <v>104</v>
      </c>
      <c r="M15" s="107" t="s">
        <v>68</v>
      </c>
      <c r="N15" s="108">
        <v>1.4995E-2</v>
      </c>
      <c r="O15" s="109">
        <f>N15*K15</f>
        <v>0.74975000000000003</v>
      </c>
      <c r="P15" s="110">
        <v>0.13</v>
      </c>
      <c r="Q15" s="111">
        <f t="shared" si="2"/>
        <v>1.56</v>
      </c>
      <c r="R15" s="112" t="s">
        <v>105</v>
      </c>
      <c r="S15" s="138" t="s">
        <v>127</v>
      </c>
    </row>
    <row r="16" spans="1:20" ht="16.5" thickBot="1" x14ac:dyDescent="0.3">
      <c r="A16" s="1">
        <v>14</v>
      </c>
      <c r="B16" s="127" t="s">
        <v>65</v>
      </c>
      <c r="C16" s="47" t="s">
        <v>43</v>
      </c>
      <c r="D16" s="40" t="s">
        <v>44</v>
      </c>
      <c r="E16" s="7" t="s">
        <v>93</v>
      </c>
      <c r="F16" s="43" t="s">
        <v>42</v>
      </c>
      <c r="G16" s="8" t="s">
        <v>76</v>
      </c>
      <c r="H16" s="7" t="s">
        <v>91</v>
      </c>
      <c r="I16" s="9">
        <v>1</v>
      </c>
      <c r="J16" s="10">
        <f t="shared" si="0"/>
        <v>3</v>
      </c>
      <c r="K16" s="10">
        <v>4</v>
      </c>
      <c r="L16" s="10" t="s">
        <v>106</v>
      </c>
      <c r="M16" s="8" t="s">
        <v>68</v>
      </c>
      <c r="N16" s="31">
        <v>1.3216669999999999</v>
      </c>
      <c r="O16" s="11">
        <f t="shared" si="1"/>
        <v>5.2866679999999997</v>
      </c>
      <c r="P16" s="11">
        <v>0.92</v>
      </c>
      <c r="Q16" s="12">
        <f t="shared" si="2"/>
        <v>2.7600000000000002</v>
      </c>
      <c r="R16" s="13"/>
      <c r="S16" s="136" t="s">
        <v>125</v>
      </c>
    </row>
    <row r="17" spans="1:19" ht="16.5" thickBot="1" x14ac:dyDescent="0.3">
      <c r="A17" s="1">
        <v>15</v>
      </c>
      <c r="B17" s="129"/>
      <c r="C17" s="50" t="s">
        <v>46</v>
      </c>
      <c r="D17" s="41" t="s">
        <v>47</v>
      </c>
      <c r="E17" s="2" t="s">
        <v>92</v>
      </c>
      <c r="F17" s="2" t="s">
        <v>45</v>
      </c>
      <c r="G17" s="117" t="s">
        <v>123</v>
      </c>
      <c r="H17" s="2" t="s">
        <v>91</v>
      </c>
      <c r="I17" s="3">
        <v>1</v>
      </c>
      <c r="J17" s="144">
        <f t="shared" si="0"/>
        <v>3</v>
      </c>
      <c r="K17" s="4">
        <v>3</v>
      </c>
      <c r="L17" s="114" t="s">
        <v>131</v>
      </c>
      <c r="M17" s="73" t="s">
        <v>107</v>
      </c>
      <c r="N17" s="38"/>
      <c r="O17" s="46">
        <f t="shared" si="1"/>
        <v>0</v>
      </c>
      <c r="P17" s="5">
        <v>15.27</v>
      </c>
      <c r="Q17" s="37">
        <f>P17*J17</f>
        <v>45.81</v>
      </c>
      <c r="R17" s="6" t="s">
        <v>108</v>
      </c>
      <c r="S17" s="138" t="s">
        <v>128</v>
      </c>
    </row>
    <row r="18" spans="1:19" ht="16.5" thickBot="1" x14ac:dyDescent="0.3">
      <c r="A18" s="52">
        <v>16</v>
      </c>
      <c r="B18" s="74" t="s">
        <v>122</v>
      </c>
      <c r="C18" s="113" t="s">
        <v>130</v>
      </c>
      <c r="D18" s="114" t="s">
        <v>131</v>
      </c>
      <c r="E18" s="114" t="s">
        <v>131</v>
      </c>
      <c r="F18" s="114" t="s">
        <v>131</v>
      </c>
      <c r="G18" s="114" t="s">
        <v>131</v>
      </c>
      <c r="H18" s="114" t="s">
        <v>131</v>
      </c>
      <c r="I18" s="116">
        <v>1</v>
      </c>
      <c r="J18" s="144">
        <f t="shared" si="0"/>
        <v>3</v>
      </c>
      <c r="K18" s="115">
        <v>3</v>
      </c>
      <c r="L18" s="114" t="s">
        <v>131</v>
      </c>
      <c r="M18" s="114" t="s">
        <v>131</v>
      </c>
      <c r="N18" s="114" t="s">
        <v>131</v>
      </c>
      <c r="O18" s="46">
        <v>0</v>
      </c>
      <c r="P18" s="114" t="s">
        <v>131</v>
      </c>
      <c r="Q18" s="114" t="s">
        <v>131</v>
      </c>
      <c r="R18" s="114" t="s">
        <v>131</v>
      </c>
      <c r="S18" s="138" t="s">
        <v>129</v>
      </c>
    </row>
    <row r="19" spans="1:19" ht="15.75" thickBot="1" x14ac:dyDescent="0.3">
      <c r="I19" s="130" t="s">
        <v>80</v>
      </c>
      <c r="J19" s="131"/>
      <c r="K19" s="131"/>
      <c r="L19" s="131"/>
      <c r="M19" s="131"/>
      <c r="N19" s="132"/>
      <c r="O19" s="34">
        <f>SUM(O3:O17)+Q17</f>
        <v>59.629047</v>
      </c>
    </row>
    <row r="20" spans="1:19" ht="19.5" thickBot="1" x14ac:dyDescent="0.35">
      <c r="C20" s="35" t="s">
        <v>81</v>
      </c>
      <c r="I20" s="121" t="s">
        <v>82</v>
      </c>
      <c r="J20" s="122"/>
      <c r="K20" s="122"/>
      <c r="L20" s="122"/>
      <c r="M20" s="122"/>
      <c r="N20" s="123"/>
      <c r="O20" s="36"/>
    </row>
    <row r="21" spans="1:19" ht="15.75" thickBot="1" x14ac:dyDescent="0.3">
      <c r="C21" s="133" t="s">
        <v>83</v>
      </c>
      <c r="D21" s="134"/>
      <c r="E21" s="135"/>
      <c r="I21" s="121" t="s">
        <v>84</v>
      </c>
      <c r="J21" s="122"/>
      <c r="K21" s="122"/>
      <c r="L21" s="122"/>
      <c r="M21" s="122"/>
      <c r="N21" s="123"/>
      <c r="O21" s="36"/>
    </row>
    <row r="22" spans="1:19" ht="15.75" thickBot="1" x14ac:dyDescent="0.3">
      <c r="C22" s="118" t="s">
        <v>85</v>
      </c>
      <c r="D22" s="119"/>
      <c r="E22" s="120"/>
      <c r="I22" s="121" t="s">
        <v>86</v>
      </c>
      <c r="J22" s="122"/>
      <c r="K22" s="122"/>
      <c r="L22" s="122"/>
      <c r="M22" s="122"/>
      <c r="N22" s="123"/>
      <c r="O22" s="36"/>
    </row>
    <row r="31" spans="1:19" x14ac:dyDescent="0.25">
      <c r="F31" t="s">
        <v>87</v>
      </c>
    </row>
  </sheetData>
  <mergeCells count="13">
    <mergeCell ref="C22:E22"/>
    <mergeCell ref="I22:N22"/>
    <mergeCell ref="B3:B4"/>
    <mergeCell ref="B5:B6"/>
    <mergeCell ref="B7:B10"/>
    <mergeCell ref="B11:B12"/>
    <mergeCell ref="B16:B17"/>
    <mergeCell ref="I19:N19"/>
    <mergeCell ref="I20:N20"/>
    <mergeCell ref="C21:E21"/>
    <mergeCell ref="I21:N21"/>
    <mergeCell ref="B13:B15"/>
    <mergeCell ref="A1:S1"/>
  </mergeCells>
  <hyperlinks>
    <hyperlink ref="M3" r:id="rId1"/>
    <hyperlink ref="M4" r:id="rId2"/>
    <hyperlink ref="G7" r:id="rId3" display="https://lcsc.com/brand-detail/1165.html"/>
    <hyperlink ref="M7" r:id="rId4"/>
    <hyperlink ref="G8" r:id="rId5" display="https://lcsc.com/brand-detail/842.html"/>
    <hyperlink ref="M8" r:id="rId6"/>
    <hyperlink ref="G9" r:id="rId7" display="https://lcsc.com/product-detail/High-Precision-Low-TCR-SMD-Resistors_100KR-1003-0-1_C122538.html"/>
    <hyperlink ref="M9" r:id="rId8"/>
    <hyperlink ref="G10" r:id="rId9" display="https://lcsc.com/brand-detail/111.html"/>
    <hyperlink ref="M10" r:id="rId10"/>
    <hyperlink ref="G11" r:id="rId11" display="https://lcsc.com/brand-detail/413.html"/>
    <hyperlink ref="M11" r:id="rId12"/>
    <hyperlink ref="G12" r:id="rId13" display="https://lcsc.com/brand-detail/413.html"/>
    <hyperlink ref="M12" r:id="rId14"/>
    <hyperlink ref="G13" r:id="rId15" display="https://lcsc.com/brand-detail/838.html"/>
    <hyperlink ref="G16" r:id="rId16" display="https://lcsc.com/brand-detail/169.html"/>
    <hyperlink ref="M16" r:id="rId17"/>
    <hyperlink ref="G3" r:id="rId18" display="https://lcsc.com/brand-detail/396.html"/>
    <hyperlink ref="G4" r:id="rId19" display="https://lcsc.com/brand-detail/392.html"/>
    <hyperlink ref="G15" r:id="rId20" display="https://www.digikey.com/en/supplier-centers/wurth-electronics"/>
    <hyperlink ref="M15" r:id="rId21"/>
    <hyperlink ref="M13" r:id="rId22"/>
    <hyperlink ref="M17" r:id="rId23"/>
    <hyperlink ref="G5" r:id="rId24" display="https://lcsc.com/brand-detail/68.html"/>
    <hyperlink ref="G6" r:id="rId25" display="https://lcsc.com/brand-detail/68.html"/>
    <hyperlink ref="M6" r:id="rId26"/>
    <hyperlink ref="M5" r:id="rId27"/>
  </hyperlinks>
  <pageMargins left="0.7" right="0.7" top="0.75" bottom="0.75" header="0.3" footer="0.3"/>
  <pageSetup orientation="portrait" horizontalDpi="300" verticalDpi="30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Daughter_CardBOM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eSpark Group</cp:lastModifiedBy>
  <dcterms:created xsi:type="dcterms:W3CDTF">2020-09-28T14:23:14Z</dcterms:created>
  <dcterms:modified xsi:type="dcterms:W3CDTF">2020-10-20T08:17:55Z</dcterms:modified>
</cp:coreProperties>
</file>