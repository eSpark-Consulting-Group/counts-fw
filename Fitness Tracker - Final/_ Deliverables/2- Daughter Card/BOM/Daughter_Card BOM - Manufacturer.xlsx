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park Group\Desktop\Final Core Files\Fitness Tracker - Final\_ Deliverables\2- Daughter Card\BOM\"/>
    </mc:Choice>
  </mc:AlternateContent>
  <bookViews>
    <workbookView xWindow="0" yWindow="0" windowWidth="20490" windowHeight="7770"/>
  </bookViews>
  <sheets>
    <sheet name="Daughter_CardBO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5" i="1"/>
  <c r="I16" i="1"/>
  <c r="I17" i="1"/>
  <c r="I18" i="1"/>
  <c r="I3" i="1"/>
</calcChain>
</file>

<file path=xl/sharedStrings.xml><?xml version="1.0" encoding="utf-8"?>
<sst xmlns="http://schemas.openxmlformats.org/spreadsheetml/2006/main" count="116" uniqueCount="84">
  <si>
    <t>Description</t>
  </si>
  <si>
    <t>Designator</t>
  </si>
  <si>
    <t>Quantity</t>
  </si>
  <si>
    <t>0.1uF</t>
  </si>
  <si>
    <t>CAP CER 0.1UF 16V X7R 0402</t>
  </si>
  <si>
    <t>C1, C2, C3, C4, C5, CF1, CF2</t>
  </si>
  <si>
    <t>Cap0402</t>
  </si>
  <si>
    <t>CC0402KRX7R7BB104</t>
  </si>
  <si>
    <t>1uF</t>
  </si>
  <si>
    <t>CAP CER 1UF 50V X7R 0603</t>
  </si>
  <si>
    <t>C6</t>
  </si>
  <si>
    <t>Cap0603</t>
  </si>
  <si>
    <t>UMK107AB7105KA-T</t>
  </si>
  <si>
    <t>CR1220-2</t>
  </si>
  <si>
    <t>SMD Battery Holders, Clips &amp; Contacts RoHS</t>
  </si>
  <si>
    <t>J1</t>
  </si>
  <si>
    <t>LED1</t>
  </si>
  <si>
    <t>LED2</t>
  </si>
  <si>
    <t>4.7K</t>
  </si>
  <si>
    <t>4.7K ±5% 1/16W ±200ppm/°C 0402 Chip Resistor - Surface Mount RoHS</t>
  </si>
  <si>
    <t>R1</t>
  </si>
  <si>
    <t>Res0402</t>
  </si>
  <si>
    <t>CR0402JF0472G</t>
  </si>
  <si>
    <t>10K</t>
  </si>
  <si>
    <t>RES 10K OHM 5% 1/10W 0402</t>
  </si>
  <si>
    <t>R2, R3, R4, R12, R13</t>
  </si>
  <si>
    <t>RK73B1ETTP103J</t>
  </si>
  <si>
    <t>100K</t>
  </si>
  <si>
    <t>RES SMD 100K OHM 0.1% 1/10W 0603</t>
  </si>
  <si>
    <t>R5, R8, R9, R10, R11</t>
  </si>
  <si>
    <t>Res0603</t>
  </si>
  <si>
    <t>RT0603BRD07100KL</t>
  </si>
  <si>
    <t>470R</t>
  </si>
  <si>
    <t>470 ±5% 1/16W ±100ppm/°C 0402 Chip Resistor - Surface Mount RoHS</t>
  </si>
  <si>
    <t>R6, R7</t>
  </si>
  <si>
    <t>RTT02471JTH</t>
  </si>
  <si>
    <t>B3FS-1012P</t>
  </si>
  <si>
    <t>SWITCH TACTILE SPST-NO 0.05A 24V</t>
  </si>
  <si>
    <t>SW1, SW2</t>
  </si>
  <si>
    <t>B3U-1000P</t>
  </si>
  <si>
    <t>SWITCH TACTILE SPST-NO 0.05A 12V</t>
  </si>
  <si>
    <t>SWG1, SWR2</t>
  </si>
  <si>
    <t>ATTINY1616-SFR</t>
  </si>
  <si>
    <t>IC MCU 8BIT 16KB FLASH 20SOIC</t>
  </si>
  <si>
    <t>U1</t>
  </si>
  <si>
    <t>RN42-I/RM</t>
  </si>
  <si>
    <t>RX TXRX MODULE BT TRC ANT SMD</t>
  </si>
  <si>
    <t>U2</t>
  </si>
  <si>
    <t>S. No.</t>
  </si>
  <si>
    <t>CommentType</t>
  </si>
  <si>
    <t>Footprint (Package)</t>
  </si>
  <si>
    <t>Manufacturer Part Number</t>
  </si>
  <si>
    <t>Value</t>
  </si>
  <si>
    <t>Total Quantity</t>
  </si>
  <si>
    <t>Diode</t>
  </si>
  <si>
    <t>Resistor</t>
  </si>
  <si>
    <t>Connector</t>
  </si>
  <si>
    <t>IC</t>
  </si>
  <si>
    <t>Switch</t>
  </si>
  <si>
    <t>Capacitor</t>
  </si>
  <si>
    <t xml:space="preserve">  </t>
  </si>
  <si>
    <t>CONN HEADER VERT 2POS 2.54MM</t>
  </si>
  <si>
    <t>P1, SW_1, SW_2, SW_3</t>
  </si>
  <si>
    <t>Header 1x2</t>
  </si>
  <si>
    <t>-----</t>
  </si>
  <si>
    <t>Custom</t>
  </si>
  <si>
    <t>20SOIC</t>
  </si>
  <si>
    <t>LED RED CLEAR SMD 0805</t>
  </si>
  <si>
    <t>LED GREEN CLEAR SMD 0805</t>
  </si>
  <si>
    <t>LED 0805</t>
  </si>
  <si>
    <t>LTST-C171KRKT</t>
  </si>
  <si>
    <t>LTST-C171KGKT</t>
  </si>
  <si>
    <t>Test Point ON</t>
  </si>
  <si>
    <t>P2, P3, P4, P5</t>
  </si>
  <si>
    <t>TEST POINT</t>
  </si>
  <si>
    <t>---------</t>
  </si>
  <si>
    <t>Battary</t>
  </si>
  <si>
    <t>Electron's Remarks</t>
  </si>
  <si>
    <t>Done</t>
  </si>
  <si>
    <t>Not going to Mount</t>
  </si>
  <si>
    <t xml:space="preserve">Electron will order it. </t>
  </si>
  <si>
    <t xml:space="preserve">CR1220 Coin Cell </t>
  </si>
  <si>
    <t xml:space="preserve"> --</t>
  </si>
  <si>
    <t xml:space="preserve"> Bill Of Material (BOM) for RUHTAB SOHOTA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</si>
</sst>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7" tint="-0.249977111117893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7" tint="-0.249977111117893"/>
      </left>
      <right/>
      <top style="thin">
        <color theme="7" tint="-0.249977111117893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6" fillId="3" borderId="7" xfId="0" quotePrefix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5" xfId="0" quotePrefix="1" applyFont="1" applyBorder="1" applyAlignment="1">
      <alignment horizontal="left" vertical="center"/>
    </xf>
    <xf numFmtId="0" fontId="6" fillId="3" borderId="7" xfId="0" quotePrefix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4" borderId="5" xfId="0" quotePrefix="1" applyFont="1" applyFill="1" applyBorder="1" applyAlignment="1">
      <alignment horizontal="center" vertical="center"/>
    </xf>
    <xf numFmtId="0" fontId="6" fillId="4" borderId="7" xfId="0" quotePrefix="1" applyFont="1" applyFill="1" applyBorder="1" applyAlignment="1">
      <alignment horizontal="center" vertical="center"/>
    </xf>
    <xf numFmtId="0" fontId="6" fillId="4" borderId="1" xfId="0" quotePrefix="1" applyFont="1" applyFill="1" applyBorder="1" applyAlignment="1">
      <alignment horizontal="center" vertical="center"/>
    </xf>
    <xf numFmtId="0" fontId="5" fillId="0" borderId="9" xfId="0" quotePrefix="1" applyFont="1" applyBorder="1" applyAlignment="1">
      <alignment horizontal="left"/>
    </xf>
    <xf numFmtId="0" fontId="5" fillId="0" borderId="10" xfId="0" quotePrefix="1" applyFont="1" applyBorder="1" applyAlignment="1">
      <alignment horizontal="left"/>
    </xf>
    <xf numFmtId="0" fontId="5" fillId="0" borderId="11" xfId="0" quotePrefix="1" applyFont="1" applyBorder="1" applyAlignment="1">
      <alignment horizontal="left"/>
    </xf>
    <xf numFmtId="0" fontId="5" fillId="3" borderId="10" xfId="0" quotePrefix="1" applyFont="1" applyFill="1" applyBorder="1" applyAlignment="1">
      <alignment horizontal="left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4" borderId="9" xfId="0" quotePrefix="1" applyFont="1" applyFill="1" applyBorder="1" applyAlignment="1">
      <alignment horizontal="left"/>
    </xf>
    <xf numFmtId="0" fontId="5" fillId="4" borderId="10" xfId="0" quotePrefix="1" applyFont="1" applyFill="1" applyBorder="1" applyAlignment="1">
      <alignment horizontal="left"/>
    </xf>
    <xf numFmtId="0" fontId="6" fillId="4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7" xfId="0" quotePrefix="1" applyFont="1" applyFill="1" applyBorder="1" applyAlignment="1">
      <alignment horizontal="center" vertical="center"/>
    </xf>
    <xf numFmtId="0" fontId="5" fillId="4" borderId="18" xfId="0" quotePrefix="1" applyFont="1" applyFill="1" applyBorder="1" applyAlignment="1">
      <alignment horizontal="left"/>
    </xf>
    <xf numFmtId="0" fontId="7" fillId="0" borderId="5" xfId="0" quotePrefix="1" applyFont="1" applyBorder="1" applyAlignment="1">
      <alignment horizontal="left" vertical="center"/>
    </xf>
    <xf numFmtId="0" fontId="7" fillId="0" borderId="7" xfId="0" quotePrefix="1" applyFont="1" applyBorder="1" applyAlignment="1">
      <alignment horizontal="left" vertical="center"/>
    </xf>
    <xf numFmtId="0" fontId="7" fillId="4" borderId="5" xfId="0" quotePrefix="1" applyFont="1" applyFill="1" applyBorder="1" applyAlignment="1">
      <alignment horizontal="left" vertical="center"/>
    </xf>
    <xf numFmtId="0" fontId="7" fillId="4" borderId="7" xfId="0" quotePrefix="1" applyFont="1" applyFill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0" fontId="5" fillId="4" borderId="11" xfId="0" quotePrefix="1" applyFont="1" applyFill="1" applyBorder="1" applyAlignment="1">
      <alignment horizontal="left"/>
    </xf>
    <xf numFmtId="0" fontId="5" fillId="3" borderId="20" xfId="0" quotePrefix="1" applyFont="1" applyFill="1" applyBorder="1" applyAlignment="1">
      <alignment horizontal="left"/>
    </xf>
    <xf numFmtId="0" fontId="6" fillId="3" borderId="8" xfId="0" quotePrefix="1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0" fillId="0" borderId="22" xfId="0" applyBorder="1"/>
    <xf numFmtId="0" fontId="4" fillId="0" borderId="3" xfId="0" applyFont="1" applyBorder="1" applyAlignment="1">
      <alignment horizontal="center" vertical="center"/>
    </xf>
    <xf numFmtId="0" fontId="4" fillId="0" borderId="4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4" borderId="19" xfId="0" quotePrefix="1" applyFont="1" applyFill="1" applyBorder="1" applyAlignment="1">
      <alignment horizontal="left"/>
    </xf>
    <xf numFmtId="0" fontId="7" fillId="4" borderId="16" xfId="0" quotePrefix="1" applyFont="1" applyFill="1" applyBorder="1" applyAlignment="1">
      <alignment horizontal="left" vertical="center"/>
    </xf>
    <xf numFmtId="0" fontId="6" fillId="4" borderId="16" xfId="0" quotePrefix="1" applyFont="1" applyFill="1" applyBorder="1" applyAlignment="1">
      <alignment horizontal="center" vertical="center"/>
    </xf>
    <xf numFmtId="0" fontId="6" fillId="4" borderId="15" xfId="0" quotePrefix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4" borderId="24" xfId="0" quotePrefix="1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topLeftCell="D1" zoomScale="95" zoomScaleNormal="95" workbookViewId="0">
      <selection activeCell="E20" sqref="E20"/>
    </sheetView>
  </sheetViews>
  <sheetFormatPr defaultRowHeight="15" x14ac:dyDescent="0.25"/>
  <cols>
    <col min="1" max="1" width="6.7109375" style="10" bestFit="1" customWidth="1"/>
    <col min="2" max="2" width="15.28515625" bestFit="1" customWidth="1"/>
    <col min="3" max="3" width="54.7109375" bestFit="1" customWidth="1"/>
    <col min="4" max="4" width="30.42578125" style="13" bestFit="1" customWidth="1"/>
    <col min="5" max="5" width="20.5703125" bestFit="1" customWidth="1"/>
    <col min="6" max="6" width="28.42578125" bestFit="1" customWidth="1"/>
    <col min="7" max="7" width="13.7109375" bestFit="1" customWidth="1"/>
    <col min="9" max="9" width="15.42578125" bestFit="1" customWidth="1"/>
    <col min="10" max="10" width="35.140625" customWidth="1"/>
  </cols>
  <sheetData>
    <row r="1" spans="1:11" ht="19.5" thickBot="1" x14ac:dyDescent="0.3">
      <c r="A1" s="50" t="s">
        <v>83</v>
      </c>
      <c r="B1" s="51"/>
      <c r="C1" s="51"/>
      <c r="D1" s="51"/>
      <c r="E1" s="51"/>
      <c r="F1" s="51"/>
      <c r="G1" s="51"/>
      <c r="H1" s="51"/>
      <c r="I1" s="51"/>
      <c r="J1" s="51"/>
    </row>
    <row r="2" spans="1:11" ht="16.5" thickBot="1" x14ac:dyDescent="0.3">
      <c r="A2" s="22" t="s">
        <v>48</v>
      </c>
      <c r="B2" s="21" t="s">
        <v>49</v>
      </c>
      <c r="C2" s="23" t="s">
        <v>0</v>
      </c>
      <c r="D2" s="21" t="s">
        <v>1</v>
      </c>
      <c r="E2" s="24" t="s">
        <v>50</v>
      </c>
      <c r="F2" s="21" t="s">
        <v>51</v>
      </c>
      <c r="G2" s="21" t="s">
        <v>52</v>
      </c>
      <c r="H2" s="24" t="s">
        <v>2</v>
      </c>
      <c r="I2" s="21" t="s">
        <v>53</v>
      </c>
      <c r="J2" s="62" t="s">
        <v>77</v>
      </c>
      <c r="K2" s="43"/>
    </row>
    <row r="3" spans="1:11" ht="16.5" thickBot="1" x14ac:dyDescent="0.3">
      <c r="A3" s="1">
        <v>1</v>
      </c>
      <c r="B3" s="44" t="s">
        <v>59</v>
      </c>
      <c r="C3" s="17" t="s">
        <v>4</v>
      </c>
      <c r="D3" s="33" t="s">
        <v>5</v>
      </c>
      <c r="E3" s="4" t="s">
        <v>6</v>
      </c>
      <c r="F3" s="14" t="s">
        <v>7</v>
      </c>
      <c r="G3" s="4" t="s">
        <v>3</v>
      </c>
      <c r="H3" s="5">
        <v>7</v>
      </c>
      <c r="I3" s="58">
        <f>H3*3</f>
        <v>21</v>
      </c>
      <c r="J3" s="57" t="s">
        <v>78</v>
      </c>
    </row>
    <row r="4" spans="1:11" ht="16.5" thickBot="1" x14ac:dyDescent="0.3">
      <c r="A4" s="1">
        <v>2</v>
      </c>
      <c r="B4" s="45"/>
      <c r="C4" s="18" t="s">
        <v>9</v>
      </c>
      <c r="D4" s="34" t="s">
        <v>10</v>
      </c>
      <c r="E4" s="6" t="s">
        <v>11</v>
      </c>
      <c r="F4" s="15" t="s">
        <v>12</v>
      </c>
      <c r="G4" s="6" t="s">
        <v>8</v>
      </c>
      <c r="H4" s="7">
        <v>1</v>
      </c>
      <c r="I4" s="58">
        <f t="shared" ref="I4:I18" si="0">H4*3</f>
        <v>3</v>
      </c>
      <c r="J4" s="57" t="s">
        <v>78</v>
      </c>
    </row>
    <row r="5" spans="1:11" ht="16.5" thickBot="1" x14ac:dyDescent="0.3">
      <c r="A5" s="1">
        <v>3</v>
      </c>
      <c r="B5" s="46" t="s">
        <v>54</v>
      </c>
      <c r="C5" s="19" t="s">
        <v>67</v>
      </c>
      <c r="D5" s="35" t="s">
        <v>16</v>
      </c>
      <c r="E5" s="8" t="s">
        <v>69</v>
      </c>
      <c r="F5" s="16" t="s">
        <v>70</v>
      </c>
      <c r="G5" s="14" t="s">
        <v>64</v>
      </c>
      <c r="H5" s="25">
        <v>1</v>
      </c>
      <c r="I5" s="58">
        <f t="shared" si="0"/>
        <v>3</v>
      </c>
      <c r="J5" s="57" t="s">
        <v>78</v>
      </c>
    </row>
    <row r="6" spans="1:11" ht="16.5" thickBot="1" x14ac:dyDescent="0.3">
      <c r="A6" s="1">
        <v>4</v>
      </c>
      <c r="B6" s="45"/>
      <c r="C6" s="19" t="s">
        <v>68</v>
      </c>
      <c r="D6" s="36" t="s">
        <v>17</v>
      </c>
      <c r="E6" s="8" t="s">
        <v>69</v>
      </c>
      <c r="F6" s="16" t="s">
        <v>71</v>
      </c>
      <c r="G6" s="15" t="s">
        <v>64</v>
      </c>
      <c r="H6" s="28">
        <v>1</v>
      </c>
      <c r="I6" s="58">
        <f t="shared" si="0"/>
        <v>3</v>
      </c>
      <c r="J6" s="57" t="s">
        <v>78</v>
      </c>
    </row>
    <row r="7" spans="1:11" ht="16.5" thickBot="1" x14ac:dyDescent="0.3">
      <c r="A7" s="1">
        <v>5</v>
      </c>
      <c r="B7" s="47" t="s">
        <v>55</v>
      </c>
      <c r="C7" s="26" t="s">
        <v>19</v>
      </c>
      <c r="D7" s="35" t="s">
        <v>20</v>
      </c>
      <c r="E7" s="14" t="s">
        <v>21</v>
      </c>
      <c r="F7" s="14" t="s">
        <v>22</v>
      </c>
      <c r="G7" s="14" t="s">
        <v>18</v>
      </c>
      <c r="H7" s="25">
        <v>1</v>
      </c>
      <c r="I7" s="58">
        <f t="shared" si="0"/>
        <v>3</v>
      </c>
      <c r="J7" s="57" t="s">
        <v>78</v>
      </c>
    </row>
    <row r="8" spans="1:11" ht="16.5" thickBot="1" x14ac:dyDescent="0.3">
      <c r="A8" s="1">
        <v>6</v>
      </c>
      <c r="B8" s="48"/>
      <c r="C8" s="19" t="s">
        <v>24</v>
      </c>
      <c r="D8" s="37" t="s">
        <v>25</v>
      </c>
      <c r="E8" s="8" t="s">
        <v>21</v>
      </c>
      <c r="F8" s="16" t="s">
        <v>26</v>
      </c>
      <c r="G8" s="8" t="s">
        <v>23</v>
      </c>
      <c r="H8" s="9">
        <v>5</v>
      </c>
      <c r="I8" s="58">
        <f t="shared" si="0"/>
        <v>15</v>
      </c>
      <c r="J8" s="57" t="s">
        <v>78</v>
      </c>
    </row>
    <row r="9" spans="1:11" ht="16.5" thickBot="1" x14ac:dyDescent="0.3">
      <c r="A9" s="1">
        <v>7</v>
      </c>
      <c r="B9" s="48"/>
      <c r="C9" s="19" t="s">
        <v>28</v>
      </c>
      <c r="D9" s="37" t="s">
        <v>29</v>
      </c>
      <c r="E9" s="8" t="s">
        <v>30</v>
      </c>
      <c r="F9" s="16" t="s">
        <v>31</v>
      </c>
      <c r="G9" s="8" t="s">
        <v>27</v>
      </c>
      <c r="H9" s="9">
        <v>5</v>
      </c>
      <c r="I9" s="58">
        <f t="shared" si="0"/>
        <v>15</v>
      </c>
      <c r="J9" s="57" t="s">
        <v>78</v>
      </c>
    </row>
    <row r="10" spans="1:11" ht="16.5" thickBot="1" x14ac:dyDescent="0.3">
      <c r="A10" s="1">
        <v>8</v>
      </c>
      <c r="B10" s="49"/>
      <c r="C10" s="27" t="s">
        <v>33</v>
      </c>
      <c r="D10" s="36" t="s">
        <v>34</v>
      </c>
      <c r="E10" s="15" t="s">
        <v>21</v>
      </c>
      <c r="F10" s="15" t="s">
        <v>35</v>
      </c>
      <c r="G10" s="15" t="s">
        <v>32</v>
      </c>
      <c r="H10" s="28">
        <v>2</v>
      </c>
      <c r="I10" s="58">
        <f t="shared" si="0"/>
        <v>6</v>
      </c>
      <c r="J10" s="57" t="s">
        <v>78</v>
      </c>
    </row>
    <row r="11" spans="1:11" ht="16.5" thickBot="1" x14ac:dyDescent="0.3">
      <c r="A11" s="1">
        <v>9</v>
      </c>
      <c r="B11" s="47" t="s">
        <v>58</v>
      </c>
      <c r="C11" s="17" t="s">
        <v>37</v>
      </c>
      <c r="D11" s="33" t="s">
        <v>38</v>
      </c>
      <c r="E11" s="4" t="s">
        <v>65</v>
      </c>
      <c r="F11" s="14" t="s">
        <v>36</v>
      </c>
      <c r="G11" s="4" t="s">
        <v>64</v>
      </c>
      <c r="H11" s="5">
        <v>2</v>
      </c>
      <c r="I11" s="58">
        <f t="shared" si="0"/>
        <v>6</v>
      </c>
      <c r="J11" s="57" t="s">
        <v>78</v>
      </c>
    </row>
    <row r="12" spans="1:11" ht="16.5" thickBot="1" x14ac:dyDescent="0.3">
      <c r="A12" s="1">
        <v>10</v>
      </c>
      <c r="B12" s="49"/>
      <c r="C12" s="18" t="s">
        <v>40</v>
      </c>
      <c r="D12" s="34" t="s">
        <v>41</v>
      </c>
      <c r="E12" s="6" t="s">
        <v>65</v>
      </c>
      <c r="F12" s="15" t="s">
        <v>39</v>
      </c>
      <c r="G12" s="6" t="s">
        <v>64</v>
      </c>
      <c r="H12" s="7">
        <v>2</v>
      </c>
      <c r="I12" s="58">
        <f t="shared" si="0"/>
        <v>6</v>
      </c>
      <c r="J12" s="57" t="s">
        <v>78</v>
      </c>
    </row>
    <row r="13" spans="1:11" ht="16.5" thickBot="1" x14ac:dyDescent="0.3">
      <c r="A13" s="1">
        <v>11</v>
      </c>
      <c r="B13" s="47" t="s">
        <v>56</v>
      </c>
      <c r="C13" s="32" t="s">
        <v>14</v>
      </c>
      <c r="D13" s="35" t="s">
        <v>15</v>
      </c>
      <c r="E13" s="14" t="s">
        <v>65</v>
      </c>
      <c r="F13" s="14" t="s">
        <v>13</v>
      </c>
      <c r="G13" s="31" t="s">
        <v>64</v>
      </c>
      <c r="H13" s="25">
        <v>1</v>
      </c>
      <c r="I13" s="58">
        <f t="shared" si="0"/>
        <v>3</v>
      </c>
      <c r="J13" s="57" t="s">
        <v>78</v>
      </c>
    </row>
    <row r="14" spans="1:11" ht="16.5" thickBot="1" x14ac:dyDescent="0.3">
      <c r="A14" s="1">
        <v>12</v>
      </c>
      <c r="B14" s="48"/>
      <c r="C14" s="38" t="s">
        <v>72</v>
      </c>
      <c r="D14" s="37" t="s">
        <v>73</v>
      </c>
      <c r="E14" s="8" t="s">
        <v>65</v>
      </c>
      <c r="F14" s="16" t="s">
        <v>74</v>
      </c>
      <c r="G14" s="16" t="s">
        <v>64</v>
      </c>
      <c r="H14" s="30">
        <v>4</v>
      </c>
      <c r="I14" s="59" t="s">
        <v>75</v>
      </c>
      <c r="J14" s="42" t="s">
        <v>79</v>
      </c>
    </row>
    <row r="15" spans="1:11" ht="16.5" thickBot="1" x14ac:dyDescent="0.3">
      <c r="A15" s="1">
        <v>13</v>
      </c>
      <c r="B15" s="48"/>
      <c r="C15" s="52" t="s">
        <v>61</v>
      </c>
      <c r="D15" s="53" t="s">
        <v>62</v>
      </c>
      <c r="E15" s="54" t="s">
        <v>65</v>
      </c>
      <c r="F15" s="54" t="s">
        <v>63</v>
      </c>
      <c r="G15" s="55" t="s">
        <v>64</v>
      </c>
      <c r="H15" s="56">
        <v>4</v>
      </c>
      <c r="I15" s="60">
        <f t="shared" si="0"/>
        <v>12</v>
      </c>
      <c r="J15" s="57" t="s">
        <v>78</v>
      </c>
    </row>
    <row r="16" spans="1:11" ht="16.5" thickBot="1" x14ac:dyDescent="0.3">
      <c r="A16" s="1">
        <v>14</v>
      </c>
      <c r="B16" s="47" t="s">
        <v>57</v>
      </c>
      <c r="C16" s="17" t="s">
        <v>43</v>
      </c>
      <c r="D16" s="11" t="s">
        <v>44</v>
      </c>
      <c r="E16" s="4" t="s">
        <v>66</v>
      </c>
      <c r="F16" s="14" t="s">
        <v>42</v>
      </c>
      <c r="G16" s="4" t="s">
        <v>64</v>
      </c>
      <c r="H16" s="5">
        <v>1</v>
      </c>
      <c r="I16" s="58">
        <f t="shared" si="0"/>
        <v>3</v>
      </c>
      <c r="J16" s="57" t="s">
        <v>78</v>
      </c>
    </row>
    <row r="17" spans="1:10" ht="16.5" thickBot="1" x14ac:dyDescent="0.3">
      <c r="A17" s="1">
        <v>15</v>
      </c>
      <c r="B17" s="49"/>
      <c r="C17" s="20" t="s">
        <v>46</v>
      </c>
      <c r="D17" s="12" t="s">
        <v>47</v>
      </c>
      <c r="E17" s="2" t="s">
        <v>65</v>
      </c>
      <c r="F17" s="2" t="s">
        <v>45</v>
      </c>
      <c r="G17" s="2" t="s">
        <v>64</v>
      </c>
      <c r="H17" s="3">
        <v>1</v>
      </c>
      <c r="I17" s="61">
        <f t="shared" si="0"/>
        <v>3</v>
      </c>
      <c r="J17" s="57" t="s">
        <v>80</v>
      </c>
    </row>
    <row r="18" spans="1:10" ht="16.5" thickBot="1" x14ac:dyDescent="0.3">
      <c r="A18" s="22">
        <v>16</v>
      </c>
      <c r="B18" s="29" t="s">
        <v>76</v>
      </c>
      <c r="C18" s="39" t="s">
        <v>81</v>
      </c>
      <c r="D18" s="40" t="s">
        <v>82</v>
      </c>
      <c r="E18" s="40" t="s">
        <v>82</v>
      </c>
      <c r="F18" s="40" t="s">
        <v>82</v>
      </c>
      <c r="G18" s="40" t="s">
        <v>82</v>
      </c>
      <c r="H18" s="41">
        <v>1</v>
      </c>
      <c r="I18" s="61">
        <f t="shared" si="0"/>
        <v>3</v>
      </c>
      <c r="J18" s="57" t="s">
        <v>80</v>
      </c>
    </row>
    <row r="27" spans="1:10" x14ac:dyDescent="0.25">
      <c r="F27" t="s">
        <v>60</v>
      </c>
    </row>
  </sheetData>
  <mergeCells count="7">
    <mergeCell ref="A1:J1"/>
    <mergeCell ref="B3:B4"/>
    <mergeCell ref="B5:B6"/>
    <mergeCell ref="B7:B10"/>
    <mergeCell ref="B11:B12"/>
    <mergeCell ref="B16:B17"/>
    <mergeCell ref="B13:B1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Daughter_CardBOM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eSpark Group</cp:lastModifiedBy>
  <dcterms:created xsi:type="dcterms:W3CDTF">2020-09-28T14:23:14Z</dcterms:created>
  <dcterms:modified xsi:type="dcterms:W3CDTF">2020-10-20T08:27:24Z</dcterms:modified>
</cp:coreProperties>
</file>