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ik\Desktop\"/>
    </mc:Choice>
  </mc:AlternateContent>
  <bookViews>
    <workbookView xWindow="0" yWindow="0" windowWidth="21570" windowHeight="8055"/>
  </bookViews>
  <sheets>
    <sheet name="CountsFitnessBOM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" i="1" l="1"/>
  <c r="O31" i="1" l="1"/>
  <c r="J31" i="1"/>
  <c r="O29" i="1"/>
  <c r="J29" i="1"/>
  <c r="Q29" i="1" s="1"/>
  <c r="J30" i="1" l="1"/>
  <c r="O13" i="1"/>
  <c r="O4" i="1" l="1"/>
  <c r="O5" i="1"/>
  <c r="O6" i="1"/>
  <c r="O7" i="1"/>
  <c r="O8" i="1"/>
  <c r="O9" i="1"/>
  <c r="O10" i="1"/>
  <c r="O11" i="1"/>
  <c r="O12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3" i="1"/>
  <c r="O37" i="1"/>
  <c r="O38" i="1"/>
  <c r="O39" i="1"/>
  <c r="O40" i="1"/>
  <c r="O41" i="1"/>
  <c r="O42" i="1"/>
  <c r="O43" i="1"/>
  <c r="O44" i="1"/>
  <c r="O3" i="1"/>
  <c r="J40" i="1" l="1"/>
  <c r="Q40" i="1" s="1"/>
  <c r="J41" i="1"/>
  <c r="Q41" i="1" s="1"/>
  <c r="J42" i="1"/>
  <c r="Q42" i="1" s="1"/>
  <c r="J43" i="1"/>
  <c r="Q43" i="1" s="1"/>
  <c r="J44" i="1"/>
  <c r="Q44" i="1" s="1"/>
  <c r="J26" i="1"/>
  <c r="Q26" i="1" s="1"/>
  <c r="J27" i="1"/>
  <c r="Q27" i="1" s="1"/>
  <c r="J28" i="1"/>
  <c r="Q28" i="1" s="1"/>
  <c r="Q30" i="1"/>
  <c r="O45" i="1" s="1"/>
  <c r="J17" i="1"/>
  <c r="Q17" i="1" s="1"/>
  <c r="J18" i="1"/>
  <c r="Q18" i="1" s="1"/>
  <c r="J19" i="1"/>
  <c r="Q19" i="1" s="1"/>
  <c r="J20" i="1"/>
  <c r="Q20" i="1" s="1"/>
  <c r="J21" i="1"/>
  <c r="Q21" i="1" s="1"/>
  <c r="J22" i="1"/>
  <c r="Q22" i="1" s="1"/>
  <c r="J23" i="1"/>
  <c r="Q23" i="1" s="1"/>
  <c r="J24" i="1"/>
  <c r="Q24" i="1" s="1"/>
  <c r="J25" i="1"/>
  <c r="Q25" i="1" s="1"/>
  <c r="J38" i="1"/>
  <c r="Q38" i="1" s="1"/>
  <c r="J39" i="1"/>
  <c r="Q39" i="1" s="1"/>
  <c r="J37" i="1"/>
  <c r="Q37" i="1" s="1"/>
  <c r="J35" i="1"/>
  <c r="J34" i="1"/>
  <c r="J14" i="1"/>
  <c r="Q14" i="1" s="1"/>
  <c r="J15" i="1"/>
  <c r="Q15" i="1" s="1"/>
  <c r="J16" i="1"/>
  <c r="Q16" i="1" s="1"/>
  <c r="J33" i="1"/>
  <c r="Q33" i="1" s="1"/>
  <c r="J12" i="1"/>
  <c r="Q12" i="1" s="1"/>
  <c r="J13" i="1"/>
  <c r="Q13" i="1" s="1"/>
  <c r="B3" i="1"/>
  <c r="J4" i="1"/>
  <c r="Q4" i="1" s="1"/>
  <c r="J5" i="1"/>
  <c r="Q5" i="1" s="1"/>
  <c r="J6" i="1"/>
  <c r="Q6" i="1" s="1"/>
  <c r="J7" i="1"/>
  <c r="Q7" i="1" s="1"/>
  <c r="J8" i="1"/>
  <c r="Q8" i="1" s="1"/>
  <c r="J9" i="1"/>
  <c r="Q9" i="1" s="1"/>
  <c r="J10" i="1"/>
  <c r="Q10" i="1" s="1"/>
  <c r="J11" i="1"/>
  <c r="Q11" i="1" s="1"/>
  <c r="J3" i="1"/>
  <c r="Q3" i="1" s="1"/>
</calcChain>
</file>

<file path=xl/sharedStrings.xml><?xml version="1.0" encoding="utf-8"?>
<sst xmlns="http://schemas.openxmlformats.org/spreadsheetml/2006/main" count="386" uniqueCount="251">
  <si>
    <t>Description</t>
  </si>
  <si>
    <t>Designator</t>
  </si>
  <si>
    <t>Quantity</t>
  </si>
  <si>
    <t>10nF</t>
  </si>
  <si>
    <t>CAP CER 10000PF 25V X7R 0402</t>
  </si>
  <si>
    <t>C1, C17</t>
  </si>
  <si>
    <t>Cap0402</t>
  </si>
  <si>
    <t>CC0402KRX7R8BB103</t>
  </si>
  <si>
    <t>0.1uF</t>
  </si>
  <si>
    <t>CAP CER 0.1UF 50V Y5V 0603</t>
  </si>
  <si>
    <t>C2, C4</t>
  </si>
  <si>
    <t>Cap0603</t>
  </si>
  <si>
    <t>CC0603ZRY5V9BB104</t>
  </si>
  <si>
    <t>1uF</t>
  </si>
  <si>
    <t>CAP CER 1UF 50V X7R 0603</t>
  </si>
  <si>
    <t>C3, C6, C8</t>
  </si>
  <si>
    <t>UMK107AB7105KA-T</t>
  </si>
  <si>
    <t>CAP CER 0.1UF 16V X7R 0402</t>
  </si>
  <si>
    <t>C5, C7, C11, C12, C13, C14, C18, C20, C22, C100, C101, C102, C103, C104, C105, C106, C107, C108, C109, C110, C111, C112, C113, C114, C115, C116, C117, C118, C119, C120</t>
  </si>
  <si>
    <t>CC0402KRX7R7BB104</t>
  </si>
  <si>
    <t>20pF</t>
  </si>
  <si>
    <t>CAP CER 20PF 25V C0H 0201</t>
  </si>
  <si>
    <t>C9, C10</t>
  </si>
  <si>
    <t>Cap 0201</t>
  </si>
  <si>
    <t>GJM0336C1E200JB01D</t>
  </si>
  <si>
    <t>4.7uF</t>
  </si>
  <si>
    <t>CAP CER 4.7UF 25V X5R 0603</t>
  </si>
  <si>
    <t>C15</t>
  </si>
  <si>
    <t>CL10A475KA8NQNC</t>
  </si>
  <si>
    <t>CAP CER 1UF 25V X5R 0402</t>
  </si>
  <si>
    <t>C16</t>
  </si>
  <si>
    <t>GRM155R61E105KA12D</t>
  </si>
  <si>
    <t>10uF</t>
  </si>
  <si>
    <t>CAP CER 10UF 10V X5R 0402</t>
  </si>
  <si>
    <t>C19, C21</t>
  </si>
  <si>
    <t>CL05A106MP8NUB8</t>
  </si>
  <si>
    <t>47pF</t>
  </si>
  <si>
    <t>CAP CER 47PF 50V C0G/NP0 0402</t>
  </si>
  <si>
    <t>C23, C24, CF1, CF2</t>
  </si>
  <si>
    <t>GCM1555C1H470JA16D</t>
  </si>
  <si>
    <t>DIODE SCHOTTKY 20V 1A SOD123FL</t>
  </si>
  <si>
    <t>D1</t>
  </si>
  <si>
    <t>LTST-C191KGKT</t>
  </si>
  <si>
    <t>LED GREEN CLEAR SMD 0603</t>
  </si>
  <si>
    <t>LED1</t>
  </si>
  <si>
    <t>LED 0603</t>
  </si>
  <si>
    <t>LED BLUE CLEAR CHIP SMD</t>
  </si>
  <si>
    <t>LED2, LED3</t>
  </si>
  <si>
    <t>CONN HEADER VERT 4POS 2.54MM</t>
  </si>
  <si>
    <t>P1, P2, P3, P4, P5, P6, P7, P8, P9, P10</t>
  </si>
  <si>
    <t>12MM Button</t>
  </si>
  <si>
    <t>SMD PAD</t>
  </si>
  <si>
    <t>Wire connecting Pads</t>
  </si>
  <si>
    <t>P15, P16</t>
  </si>
  <si>
    <t>Solder Bridge</t>
  </si>
  <si>
    <t>DMP2045U-7</t>
  </si>
  <si>
    <t>MOSFET P-CHAN 24V SOT23</t>
  </si>
  <si>
    <t>Q1</t>
  </si>
  <si>
    <t>SOT23-3</t>
  </si>
  <si>
    <t>MMBT918LT1G</t>
  </si>
  <si>
    <t>NPN 50mA 15V 225mW SOT-23(SOT-23-3) Transistors (NPN/PNP) RoHS</t>
  </si>
  <si>
    <t>100K</t>
  </si>
  <si>
    <t>RES SMD 100K OHM 0.1% 1/10W 0603</t>
  </si>
  <si>
    <t>R1</t>
  </si>
  <si>
    <t>Res0603</t>
  </si>
  <si>
    <t>RT0603BRD07100KL</t>
  </si>
  <si>
    <t>10K</t>
  </si>
  <si>
    <t>RES 10K OHM 5% 1/10W 0402</t>
  </si>
  <si>
    <t>R2, R4, R11, R13, R15, R17, R19, R21, R23, R25, R27, R29, R53, R54, R55, R56, R57, R58, R59, R60, R61, R62, R63</t>
  </si>
  <si>
    <t>Res0402</t>
  </si>
  <si>
    <t>RK73B1ETTP103J</t>
  </si>
  <si>
    <t>665R</t>
  </si>
  <si>
    <t>RES SMD 665 OHM 1% 1/10W 0603</t>
  </si>
  <si>
    <t>R3</t>
  </si>
  <si>
    <t>330R</t>
  </si>
  <si>
    <t>RES SMD 330 OHM 1% 1/10W 0603</t>
  </si>
  <si>
    <t>RC0603FR-07330RL</t>
  </si>
  <si>
    <t>20K</t>
  </si>
  <si>
    <t>RES SMD 20K OHM 1% 1/16W 0402</t>
  </si>
  <si>
    <t>R7, R8, R9</t>
  </si>
  <si>
    <t>RC0402JR-0720KL</t>
  </si>
  <si>
    <t>1K</t>
  </si>
  <si>
    <t>RES SMD 1K OHM 5% 1/10W 0402</t>
  </si>
  <si>
    <t>ERJ-2GEJ102X</t>
  </si>
  <si>
    <t>4.7K</t>
  </si>
  <si>
    <t>RES SMD 4.7K OHM 1% 1/16W 0402</t>
  </si>
  <si>
    <t>R31, R33, R35, R37, R39, R41, R43, R45, R47, R49</t>
  </si>
  <si>
    <t>RC0402FR-074K7L</t>
  </si>
  <si>
    <t>47K</t>
  </si>
  <si>
    <t>RES SMD 47K OHM 1% 1/16W 0402</t>
  </si>
  <si>
    <t>R32, R34, R36, R38, R40, R42, R44, R46, R48, R50</t>
  </si>
  <si>
    <t>RC0402FR-0747KL</t>
  </si>
  <si>
    <t>27R</t>
  </si>
  <si>
    <t>RES SMD 27 OHM 1% 1/16W 0402</t>
  </si>
  <si>
    <t>R51, R52, RF1, RF2</t>
  </si>
  <si>
    <t>Solder Bridge ON</t>
  </si>
  <si>
    <t>SB2, SB3, SB4, SB5, SB6, SB7</t>
  </si>
  <si>
    <t>B3FS-1012P</t>
  </si>
  <si>
    <t>SWITCH TACTILE SPST-NO 0.05A 24V</t>
  </si>
  <si>
    <t>SW1, SW2, SW3, SW4, SW5, SW6, SW7, SW8, SW9</t>
  </si>
  <si>
    <t>OS102011MA1QN1</t>
  </si>
  <si>
    <t>2 Position SPDT Miniature Slide Switch 100MA 12V Through Hole, Right Angle</t>
  </si>
  <si>
    <t>SWB1</t>
  </si>
  <si>
    <t>B3U-1000P</t>
  </si>
  <si>
    <t>SWITCH TACTILE SPST-NO 0.05A 12V</t>
  </si>
  <si>
    <t>SWR2</t>
  </si>
  <si>
    <t>CONN HEADER VERT 2POS 2.54MM</t>
  </si>
  <si>
    <t>ESE-18R61D</t>
  </si>
  <si>
    <t>SWITCH DETECTOR SPST-NC 10MA 5V</t>
  </si>
  <si>
    <t>SW_10, SW_11</t>
  </si>
  <si>
    <t>U1</t>
  </si>
  <si>
    <t>NCP3335ADM330R2G</t>
  </si>
  <si>
    <t>IC REG LINEAR 3.3V 500MA MICRO8</t>
  </si>
  <si>
    <t>U2</t>
  </si>
  <si>
    <t>BQ21040DBVR</t>
  </si>
  <si>
    <t>IC BAT CHG LI-ION 1 CELL SOT23-6</t>
  </si>
  <si>
    <t>U3</t>
  </si>
  <si>
    <t>SP3014-02UTG</t>
  </si>
  <si>
    <t>TVS DIODE 5V 6.8V 6UDFN</t>
  </si>
  <si>
    <t>U4</t>
  </si>
  <si>
    <t>10118192-0001LF</t>
  </si>
  <si>
    <t>CONN USB MICRO B RECPT SMT R/A</t>
  </si>
  <si>
    <t>USB1</t>
  </si>
  <si>
    <t>292303-1</t>
  </si>
  <si>
    <t>USB-A (USB TYPE-A) USB 2.0 Receptacle Connector 4 Position Through Hole, Right Angle</t>
  </si>
  <si>
    <t>USB2</t>
  </si>
  <si>
    <t>CRYSTAL 8.0000MHZ 18PF SMD</t>
  </si>
  <si>
    <t>XTAL1</t>
  </si>
  <si>
    <t>7B08070001</t>
  </si>
  <si>
    <t>S. No.</t>
  </si>
  <si>
    <t>CommentType</t>
  </si>
  <si>
    <t>Footprint (Package)</t>
  </si>
  <si>
    <t>Manufacturer Part Number</t>
  </si>
  <si>
    <t>Manufacturer</t>
  </si>
  <si>
    <t>Value</t>
  </si>
  <si>
    <t>Total Quantity</t>
  </si>
  <si>
    <t>LCSC Quantity</t>
  </si>
  <si>
    <t>Link</t>
  </si>
  <si>
    <t>Unit Price (LCSC)</t>
  </si>
  <si>
    <t>Total Price (LCSC)</t>
  </si>
  <si>
    <t>Unit Price (Digikey)</t>
  </si>
  <si>
    <t>Total Price (Digikey)</t>
  </si>
  <si>
    <t>Remarks</t>
  </si>
  <si>
    <t>YAGEO</t>
  </si>
  <si>
    <t>LCSC</t>
  </si>
  <si>
    <t>Taiyo Yuden</t>
  </si>
  <si>
    <t>Murata Electronics</t>
  </si>
  <si>
    <t>Samsung Electro-Mechanics</t>
  </si>
  <si>
    <t>Lite-On</t>
  </si>
  <si>
    <t>Ckmtw(Shenzhen Cankemeng)</t>
  </si>
  <si>
    <t>Diodes Incorporated</t>
  </si>
  <si>
    <t>ON Semiconductor</t>
  </si>
  <si>
    <t>KOA Speer Elec</t>
  </si>
  <si>
    <t>PANASONIC</t>
  </si>
  <si>
    <t>Omron Electronics</t>
  </si>
  <si>
    <t>C&amp;K</t>
  </si>
  <si>
    <t>Texas Instruments</t>
  </si>
  <si>
    <t>Littelfuse</t>
  </si>
  <si>
    <t>Amphenol ICC</t>
  </si>
  <si>
    <t>TE Connectivity</t>
  </si>
  <si>
    <t>TXC Corp</t>
  </si>
  <si>
    <t>Transistor</t>
  </si>
  <si>
    <t>Diode</t>
  </si>
  <si>
    <t>Resistor</t>
  </si>
  <si>
    <t>Connector</t>
  </si>
  <si>
    <t>IC</t>
  </si>
  <si>
    <t>Switch</t>
  </si>
  <si>
    <t>Bill Of Material (BOM) for RUHTAB SAHOTA</t>
  </si>
  <si>
    <t xml:space="preserve">Notes: </t>
  </si>
  <si>
    <t xml:space="preserve">2- Supplier costing and custom charges are added in the final cost. </t>
  </si>
  <si>
    <t>1- The costing is done for Three (3) boards. All components will be calculated with multiplication factor Three (3).</t>
  </si>
  <si>
    <t xml:space="preserve">Total Component Cost </t>
  </si>
  <si>
    <t>Custom Charges</t>
  </si>
  <si>
    <t>Shipping Charges</t>
  </si>
  <si>
    <t xml:space="preserve">Total </t>
  </si>
  <si>
    <t>---</t>
  </si>
  <si>
    <t>Custom</t>
  </si>
  <si>
    <t>48LQFP</t>
  </si>
  <si>
    <t>MICRO8</t>
  </si>
  <si>
    <t>SOT23-6</t>
  </si>
  <si>
    <t>6UDFN</t>
  </si>
  <si>
    <t>--------------</t>
  </si>
  <si>
    <t xml:space="preserve">DO NOT MOUNT </t>
  </si>
  <si>
    <t>DO NOT MOUNT</t>
  </si>
  <si>
    <t>LCSC Part Number</t>
  </si>
  <si>
    <t>C327025</t>
  </si>
  <si>
    <t>C106221</t>
  </si>
  <si>
    <t>C105174</t>
  </si>
  <si>
    <t>C60474</t>
  </si>
  <si>
    <t>C161300</t>
  </si>
  <si>
    <t>C69335</t>
  </si>
  <si>
    <t>C77009</t>
  </si>
  <si>
    <t>C307415</t>
  </si>
  <si>
    <t>C126511</t>
  </si>
  <si>
    <t>C459541</t>
  </si>
  <si>
    <t>C232603</t>
  </si>
  <si>
    <t>SOD-123F</t>
  </si>
  <si>
    <t>MBR120VLSFT1G</t>
  </si>
  <si>
    <t>C223608</t>
  </si>
  <si>
    <t>C125098</t>
  </si>
  <si>
    <t>C125103</t>
  </si>
  <si>
    <t>C122538</t>
  </si>
  <si>
    <t>C159873</t>
  </si>
  <si>
    <t>C23096</t>
  </si>
  <si>
    <t>C105881</t>
  </si>
  <si>
    <t>C137902</t>
  </si>
  <si>
    <t>C409846</t>
  </si>
  <si>
    <t>C105871</t>
  </si>
  <si>
    <t>C93943</t>
  </si>
  <si>
    <t>C138021</t>
  </si>
  <si>
    <t>C271753</t>
  </si>
  <si>
    <t>C226259</t>
  </si>
  <si>
    <t>C231329</t>
  </si>
  <si>
    <t>Digikey</t>
  </si>
  <si>
    <t>Client's recommendation</t>
  </si>
  <si>
    <t>C124378</t>
  </si>
  <si>
    <t>-----</t>
  </si>
  <si>
    <t>C124375</t>
  </si>
  <si>
    <t>C132564</t>
  </si>
  <si>
    <t>C86461</t>
  </si>
  <si>
    <t>STMicroelectronics</t>
  </si>
  <si>
    <t>C74909</t>
  </si>
  <si>
    <t>C154793</t>
  </si>
  <si>
    <t>C202311</t>
  </si>
  <si>
    <t>C207282</t>
  </si>
  <si>
    <t>C331620</t>
  </si>
  <si>
    <t>DIANQI Official Store</t>
  </si>
  <si>
    <t>AliE</t>
  </si>
  <si>
    <t>Buzzer</t>
  </si>
  <si>
    <t>Piezo Buzzer NO 80dB @ 3V</t>
  </si>
  <si>
    <t>12*12*3mm SMD</t>
  </si>
  <si>
    <t>KLJ-1230</t>
  </si>
  <si>
    <t>KELIKING</t>
  </si>
  <si>
    <t>C201042</t>
  </si>
  <si>
    <t>Battery</t>
  </si>
  <si>
    <t>Will be added by Electron Ali</t>
  </si>
  <si>
    <t>LS1</t>
  </si>
  <si>
    <t>Q2, Q3, Q4, Q5, Q6, Q7, Q8, Q9, Q10, Q11, Qx</t>
  </si>
  <si>
    <t>R5, R6, R12, R14, R16, R18, R20, R22, R24, R26, R28, R30, Rv</t>
  </si>
  <si>
    <t>R10, Rb</t>
  </si>
  <si>
    <t>SB_2, SB_3, SB_4, SB_5, SW_1, SW_2, SW_3, SW_4, SW_5, SW_6, SW_7, SW_8, SW_9</t>
  </si>
  <si>
    <t>Test Point ON</t>
  </si>
  <si>
    <t>P11, P12, P13</t>
  </si>
  <si>
    <t>TEST POINT</t>
  </si>
  <si>
    <t xml:space="preserve">LTST-C193TBKT-5A
</t>
  </si>
  <si>
    <t>0603WAF6650T5E</t>
  </si>
  <si>
    <t>RC0402FR-0727RL</t>
  </si>
  <si>
    <t xml:space="preserve">C124375
</t>
  </si>
  <si>
    <t xml:space="preserve">C124378
</t>
  </si>
  <si>
    <t xml:space="preserve">STM32F070CBT6
</t>
  </si>
  <si>
    <t>32-Bit FLASH ARM® Cortex®-M0 48MHz 2.4V ~ 3.6V LQFP-48_7x7x05P ST Microelectronics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</si>
</sst>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164" formatCode="&quot;$&quot;#,##0.00"/>
    <numFmt numFmtId="165" formatCode="&quot;$&quot;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3">
    <xf numFmtId="0" fontId="0" fillId="0" borderId="0" xfId="0"/>
    <xf numFmtId="0" fontId="0" fillId="0" borderId="0" xfId="0" applyAlignment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3" fillId="2" borderId="22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Fill="1" applyBorder="1"/>
    <xf numFmtId="0" fontId="6" fillId="0" borderId="16" xfId="0" quotePrefix="1" applyFont="1" applyBorder="1" applyAlignment="1">
      <alignment horizontal="center" vertical="center"/>
    </xf>
    <xf numFmtId="0" fontId="5" fillId="0" borderId="16" xfId="1" applyFont="1" applyBorder="1" applyAlignment="1" applyProtection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5" fillId="0" borderId="12" xfId="1" applyFont="1" applyBorder="1" applyAlignment="1" applyProtection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5" fillId="0" borderId="16" xfId="1" applyFont="1" applyBorder="1" applyAlignment="1" applyProtection="1">
      <alignment horizontal="center" vertical="center" wrapText="1"/>
    </xf>
    <xf numFmtId="0" fontId="5" fillId="0" borderId="12" xfId="1" applyFont="1" applyBorder="1" applyAlignment="1" applyProtection="1">
      <alignment horizontal="center" vertical="center" wrapText="1"/>
    </xf>
    <xf numFmtId="0" fontId="6" fillId="3" borderId="12" xfId="0" quotePrefix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6" fillId="0" borderId="20" xfId="0" quotePrefix="1" applyFont="1" applyBorder="1" applyAlignment="1">
      <alignment horizontal="left" vertical="top"/>
    </xf>
    <xf numFmtId="0" fontId="6" fillId="0" borderId="21" xfId="0" quotePrefix="1" applyFont="1" applyBorder="1" applyAlignment="1">
      <alignment horizontal="left" vertical="top"/>
    </xf>
    <xf numFmtId="0" fontId="6" fillId="0" borderId="22" xfId="0" quotePrefix="1" applyFont="1" applyBorder="1" applyAlignment="1">
      <alignment horizontal="left" vertical="top"/>
    </xf>
    <xf numFmtId="0" fontId="6" fillId="3" borderId="22" xfId="0" quotePrefix="1" applyFont="1" applyFill="1" applyBorder="1" applyAlignment="1">
      <alignment horizontal="left" vertical="top"/>
    </xf>
    <xf numFmtId="164" fontId="6" fillId="0" borderId="16" xfId="0" applyNumberFormat="1" applyFont="1" applyBorder="1" applyAlignment="1">
      <alignment horizontal="center" vertical="center"/>
    </xf>
    <xf numFmtId="164" fontId="0" fillId="0" borderId="16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0" fillId="0" borderId="12" xfId="0" applyNumberFormat="1" applyFont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0" fillId="3" borderId="12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wrapText="1"/>
    </xf>
    <xf numFmtId="164" fontId="1" fillId="2" borderId="10" xfId="0" applyNumberFormat="1" applyFont="1" applyFill="1" applyBorder="1" applyAlignment="1">
      <alignment horizontal="center" vertical="center"/>
    </xf>
    <xf numFmtId="6" fontId="1" fillId="2" borderId="1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21" xfId="0" quotePrefix="1" applyFont="1" applyBorder="1" applyAlignment="1">
      <alignment horizontal="left" vertical="center"/>
    </xf>
    <xf numFmtId="165" fontId="6" fillId="0" borderId="16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wrapText="1"/>
    </xf>
    <xf numFmtId="165" fontId="6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4" borderId="22" xfId="0" quotePrefix="1" applyFont="1" applyFill="1" applyBorder="1" applyAlignment="1">
      <alignment horizontal="left" vertical="top"/>
    </xf>
    <xf numFmtId="0" fontId="6" fillId="4" borderId="12" xfId="0" quotePrefix="1" applyFont="1" applyFill="1" applyBorder="1" applyAlignment="1">
      <alignment horizontal="center" vertical="center"/>
    </xf>
    <xf numFmtId="0" fontId="5" fillId="4" borderId="12" xfId="1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/>
    </xf>
    <xf numFmtId="164" fontId="6" fillId="4" borderId="12" xfId="0" applyNumberFormat="1" applyFont="1" applyFill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0" fontId="6" fillId="4" borderId="16" xfId="0" quotePrefix="1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/>
    </xf>
    <xf numFmtId="164" fontId="0" fillId="0" borderId="24" xfId="0" quotePrefix="1" applyNumberFormat="1" applyFont="1" applyBorder="1" applyAlignment="1">
      <alignment horizontal="center" vertical="center"/>
    </xf>
    <xf numFmtId="0" fontId="6" fillId="0" borderId="22" xfId="0" quotePrefix="1" applyFont="1" applyBorder="1" applyAlignment="1">
      <alignment horizontal="left" vertical="top" wrapText="1"/>
    </xf>
    <xf numFmtId="165" fontId="6" fillId="0" borderId="12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3" borderId="12" xfId="1" applyFill="1" applyBorder="1" applyAlignment="1" applyProtection="1">
      <alignment horizontal="center" vertical="center"/>
    </xf>
    <xf numFmtId="0" fontId="0" fillId="3" borderId="12" xfId="0" quotePrefix="1" applyFont="1" applyFill="1" applyBorder="1" applyAlignment="1">
      <alignment horizontal="center" vertical="center"/>
    </xf>
    <xf numFmtId="165" fontId="0" fillId="3" borderId="12" xfId="0" quotePrefix="1" applyNumberFormat="1" applyFont="1" applyFill="1" applyBorder="1" applyAlignment="1">
      <alignment horizontal="center"/>
    </xf>
    <xf numFmtId="164" fontId="6" fillId="3" borderId="12" xfId="0" quotePrefix="1" applyNumberFormat="1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6" fillId="0" borderId="34" xfId="0" quotePrefix="1" applyFont="1" applyBorder="1" applyAlignment="1">
      <alignment horizontal="left" vertical="top"/>
    </xf>
    <xf numFmtId="0" fontId="6" fillId="0" borderId="35" xfId="0" quotePrefix="1" applyFont="1" applyBorder="1" applyAlignment="1">
      <alignment horizontal="center" vertical="center"/>
    </xf>
    <xf numFmtId="0" fontId="5" fillId="0" borderId="35" xfId="1" applyFont="1" applyBorder="1" applyAlignment="1" applyProtection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5" fontId="6" fillId="0" borderId="35" xfId="0" applyNumberFormat="1" applyFont="1" applyBorder="1" applyAlignment="1">
      <alignment horizontal="center"/>
    </xf>
    <xf numFmtId="164" fontId="6" fillId="0" borderId="35" xfId="0" applyNumberFormat="1" applyFont="1" applyBorder="1" applyAlignment="1">
      <alignment horizontal="center" vertical="center"/>
    </xf>
    <xf numFmtId="164" fontId="0" fillId="0" borderId="35" xfId="0" applyNumberFormat="1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4" fillId="0" borderId="1" xfId="1" quotePrefix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164" fontId="7" fillId="4" borderId="12" xfId="0" applyNumberFormat="1" applyFont="1" applyFill="1" applyBorder="1" applyAlignment="1">
      <alignment horizontal="center" vertical="center"/>
    </xf>
    <xf numFmtId="0" fontId="0" fillId="4" borderId="19" xfId="0" applyFont="1" applyFill="1" applyBorder="1" applyAlignment="1">
      <alignment horizontal="center" vertical="center"/>
    </xf>
    <xf numFmtId="0" fontId="6" fillId="3" borderId="37" xfId="0" quotePrefix="1" applyFont="1" applyFill="1" applyBorder="1" applyAlignment="1">
      <alignment horizontal="left" vertical="top"/>
    </xf>
    <xf numFmtId="0" fontId="6" fillId="3" borderId="38" xfId="0" quotePrefix="1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0" fillId="3" borderId="38" xfId="0" quotePrefix="1" applyFont="1" applyFill="1" applyBorder="1" applyAlignment="1">
      <alignment horizontal="center" vertical="center"/>
    </xf>
    <xf numFmtId="0" fontId="4" fillId="3" borderId="38" xfId="1" applyFill="1" applyBorder="1" applyAlignment="1" applyProtection="1">
      <alignment horizontal="center" vertical="center"/>
    </xf>
    <xf numFmtId="165" fontId="0" fillId="3" borderId="38" xfId="0" quotePrefix="1" applyNumberFormat="1" applyFont="1" applyFill="1" applyBorder="1" applyAlignment="1">
      <alignment horizontal="center"/>
    </xf>
    <xf numFmtId="164" fontId="6" fillId="3" borderId="38" xfId="0" quotePrefix="1" applyNumberFormat="1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164" fontId="6" fillId="3" borderId="39" xfId="0" quotePrefix="1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4" borderId="20" xfId="0" quotePrefix="1" applyFont="1" applyFill="1" applyBorder="1" applyAlignment="1">
      <alignment horizontal="left" vertical="top"/>
    </xf>
    <xf numFmtId="0" fontId="0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4" fillId="4" borderId="16" xfId="1" applyFill="1" applyBorder="1" applyAlignment="1" applyProtection="1">
      <alignment horizontal="center" vertical="center"/>
    </xf>
    <xf numFmtId="165" fontId="0" fillId="4" borderId="16" xfId="0" applyNumberFormat="1" applyFont="1" applyFill="1" applyBorder="1" applyAlignment="1">
      <alignment horizontal="center"/>
    </xf>
    <xf numFmtId="164" fontId="6" fillId="4" borderId="16" xfId="0" applyNumberFormat="1" applyFont="1" applyFill="1" applyBorder="1" applyAlignment="1">
      <alignment horizontal="center" vertical="center"/>
    </xf>
    <xf numFmtId="164" fontId="0" fillId="4" borderId="16" xfId="0" applyNumberFormat="1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165" fontId="0" fillId="4" borderId="16" xfId="0" applyNumberFormat="1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0" borderId="16" xfId="0" quotePrefix="1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wrapText="1"/>
    </xf>
    <xf numFmtId="0" fontId="0" fillId="0" borderId="12" xfId="0" quotePrefix="1" applyFont="1" applyBorder="1" applyAlignment="1">
      <alignment horizontal="left" vertical="center"/>
    </xf>
    <xf numFmtId="0" fontId="0" fillId="4" borderId="16" xfId="0" quotePrefix="1" applyFont="1" applyFill="1" applyBorder="1" applyAlignment="1">
      <alignment horizontal="left" vertical="center"/>
    </xf>
    <xf numFmtId="0" fontId="0" fillId="3" borderId="12" xfId="0" quotePrefix="1" applyFont="1" applyFill="1" applyBorder="1" applyAlignment="1">
      <alignment horizontal="left" vertical="center"/>
    </xf>
    <xf numFmtId="0" fontId="0" fillId="0" borderId="1" xfId="0" quotePrefix="1" applyFont="1" applyBorder="1" applyAlignment="1">
      <alignment vertical="center" wrapText="1"/>
    </xf>
    <xf numFmtId="0" fontId="0" fillId="0" borderId="1" xfId="0" quotePrefix="1" applyFont="1" applyBorder="1" applyAlignment="1">
      <alignment horizontal="left" vertical="center" wrapText="1"/>
    </xf>
    <xf numFmtId="0" fontId="0" fillId="3" borderId="38" xfId="0" quotePrefix="1" applyFont="1" applyFill="1" applyBorder="1" applyAlignment="1">
      <alignment horizontal="left" vertical="center"/>
    </xf>
    <xf numFmtId="0" fontId="0" fillId="4" borderId="12" xfId="0" quotePrefix="1" applyFont="1" applyFill="1" applyBorder="1" applyAlignment="1">
      <alignment horizontal="left" vertical="center"/>
    </xf>
    <xf numFmtId="0" fontId="0" fillId="0" borderId="20" xfId="0" quotePrefix="1" applyFont="1" applyBorder="1" applyAlignment="1">
      <alignment horizontal="left" vertical="top"/>
    </xf>
    <xf numFmtId="0" fontId="0" fillId="0" borderId="21" xfId="0" quotePrefix="1" applyFont="1" applyBorder="1" applyAlignment="1">
      <alignment horizontal="left" vertical="top"/>
    </xf>
    <xf numFmtId="0" fontId="0" fillId="0" borderId="21" xfId="0" quotePrefix="1" applyFont="1" applyBorder="1" applyAlignment="1">
      <alignment horizontal="left" vertical="center"/>
    </xf>
    <xf numFmtId="0" fontId="6" fillId="4" borderId="21" xfId="0" quotePrefix="1" applyFont="1" applyFill="1" applyBorder="1" applyAlignment="1">
      <alignment horizontal="left" vertical="top"/>
    </xf>
    <xf numFmtId="0" fontId="0" fillId="4" borderId="1" xfId="0" quotePrefix="1" applyFont="1" applyFill="1" applyBorder="1" applyAlignment="1">
      <alignment horizontal="left" vertical="center"/>
    </xf>
    <xf numFmtId="0" fontId="5" fillId="4" borderId="1" xfId="1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1" applyFill="1" applyBorder="1" applyAlignment="1" applyProtection="1">
      <alignment horizontal="center" vertical="center"/>
    </xf>
    <xf numFmtId="165" fontId="6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4" fillId="4" borderId="12" xfId="1" applyFill="1" applyBorder="1" applyAlignment="1" applyProtection="1">
      <alignment horizontal="center" vertical="center"/>
    </xf>
    <xf numFmtId="0" fontId="6" fillId="4" borderId="19" xfId="0" applyFont="1" applyFill="1" applyBorder="1" applyAlignment="1">
      <alignment horizontal="center" vertical="center" wrapText="1"/>
    </xf>
    <xf numFmtId="0" fontId="6" fillId="0" borderId="21" xfId="0" quotePrefix="1" applyFont="1" applyBorder="1" applyAlignment="1">
      <alignment horizontal="left" vertical="top" wrapText="1"/>
    </xf>
    <xf numFmtId="0" fontId="6" fillId="4" borderId="21" xfId="0" quotePrefix="1" applyFont="1" applyFill="1" applyBorder="1" applyAlignment="1">
      <alignment horizontal="left" vertical="center"/>
    </xf>
    <xf numFmtId="0" fontId="0" fillId="4" borderId="41" xfId="0" quotePrefix="1" applyFont="1" applyFill="1" applyBorder="1" applyAlignment="1">
      <alignment horizontal="left" vertical="center" wrapText="1"/>
    </xf>
    <xf numFmtId="0" fontId="5" fillId="4" borderId="1" xfId="1" applyFont="1" applyFill="1" applyBorder="1" applyAlignment="1" applyProtection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/>
    </xf>
    <xf numFmtId="164" fontId="7" fillId="4" borderId="24" xfId="0" applyNumberFormat="1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5" fillId="4" borderId="16" xfId="1" applyFont="1" applyFill="1" applyBorder="1" applyAlignment="1" applyProtection="1">
      <alignment horizontal="center" vertical="center"/>
    </xf>
    <xf numFmtId="165" fontId="6" fillId="4" borderId="16" xfId="0" applyNumberFormat="1" applyFont="1" applyFill="1" applyBorder="1" applyAlignment="1">
      <alignment horizontal="center"/>
    </xf>
    <xf numFmtId="164" fontId="7" fillId="4" borderId="23" xfId="0" applyNumberFormat="1" applyFont="1" applyFill="1" applyBorder="1" applyAlignment="1">
      <alignment horizontal="center" vertical="center"/>
    </xf>
    <xf numFmtId="0" fontId="0" fillId="4" borderId="26" xfId="0" applyFont="1" applyFill="1" applyBorder="1" applyAlignment="1">
      <alignment horizontal="center" vertical="center"/>
    </xf>
    <xf numFmtId="0" fontId="6" fillId="4" borderId="6" xfId="0" quotePrefix="1" applyFont="1" applyFill="1" applyBorder="1" applyAlignment="1">
      <alignment horizontal="left" vertical="top"/>
    </xf>
    <xf numFmtId="0" fontId="0" fillId="4" borderId="29" xfId="0" quotePrefix="1" applyFont="1" applyFill="1" applyBorder="1" applyAlignment="1">
      <alignment horizontal="left" vertical="center"/>
    </xf>
    <xf numFmtId="0" fontId="6" fillId="4" borderId="29" xfId="0" quotePrefix="1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0" fillId="4" borderId="29" xfId="0" quotePrefix="1" applyFont="1" applyFill="1" applyBorder="1" applyAlignment="1">
      <alignment horizontal="center" vertical="center"/>
    </xf>
    <xf numFmtId="0" fontId="4" fillId="4" borderId="29" xfId="1" applyFill="1" applyBorder="1" applyAlignment="1" applyProtection="1">
      <alignment horizontal="center" vertical="center"/>
    </xf>
    <xf numFmtId="165" fontId="0" fillId="4" borderId="29" xfId="0" quotePrefix="1" applyNumberFormat="1" applyFont="1" applyFill="1" applyBorder="1" applyAlignment="1">
      <alignment horizontal="center"/>
    </xf>
    <xf numFmtId="164" fontId="6" fillId="4" borderId="29" xfId="0" quotePrefix="1" applyNumberFormat="1" applyFont="1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4" borderId="20" xfId="0" quotePrefix="1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/>
    </xf>
    <xf numFmtId="0" fontId="9" fillId="0" borderId="15" xfId="0" quotePrefix="1" applyFont="1" applyBorder="1" applyAlignment="1">
      <alignment horizontal="center" vertical="center"/>
    </xf>
    <xf numFmtId="0" fontId="5" fillId="0" borderId="35" xfId="1" applyFont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park/Desktop/CSP-Latest/CSPMB01_v100_AD18/_BOM/CSPMB01_REV099_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ized"/>
    </sheetNames>
    <sheetDataSet>
      <sheetData sheetId="0" refreshError="1">
        <row r="23">
          <cell r="B23" t="str">
            <v>Capacitor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brand-detail/68.html" TargetMode="External"/><Relationship Id="rId21" Type="http://schemas.openxmlformats.org/officeDocument/2006/relationships/hyperlink" Target="https://lcsc.com/brand-detail/94.html" TargetMode="External"/><Relationship Id="rId42" Type="http://schemas.openxmlformats.org/officeDocument/2006/relationships/hyperlink" Target="https://lcsc.com/brand-detail/396.html" TargetMode="External"/><Relationship Id="rId47" Type="http://schemas.openxmlformats.org/officeDocument/2006/relationships/hyperlink" Target="https://lcsc.com/product-detail/Chip-Resistor-Surface-Mount_YAGEO-RC0402FR-074K7L_C105871.html" TargetMode="External"/><Relationship Id="rId63" Type="http://schemas.openxmlformats.org/officeDocument/2006/relationships/hyperlink" Target="https://lcsc.com/brand-detail/83.html" TargetMode="External"/><Relationship Id="rId68" Type="http://schemas.openxmlformats.org/officeDocument/2006/relationships/hyperlink" Target="https://lcsc.com/product-detail/ST-Microelectronics_STMicroelectronics_STM32F070CBT6_STM32F070CBT6_C74909.html" TargetMode="External"/><Relationship Id="rId7" Type="http://schemas.openxmlformats.org/officeDocument/2006/relationships/hyperlink" Target="https://lcsc.com/brand-detail/396.html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lcsc.com/product-detail/Others_YAGEO-CC0402KRX7R8BB103_C327025.html" TargetMode="External"/><Relationship Id="rId16" Type="http://schemas.openxmlformats.org/officeDocument/2006/relationships/hyperlink" Target="https://lcsc.com/product-detail/Multilayer-Ceramic-Capacitors-MLCC-SMD-SMT_Samsung-Electro-Mechanics-CL05A106MP8NUB8_C307415.html" TargetMode="External"/><Relationship Id="rId29" Type="http://schemas.openxmlformats.org/officeDocument/2006/relationships/hyperlink" Target="https://lcsc.com/product-detail/Pin-Header-Female-Header_Ckmtw-Shenzhen-Cankemeng-C124375_C124375.html" TargetMode="External"/><Relationship Id="rId11" Type="http://schemas.openxmlformats.org/officeDocument/2006/relationships/hyperlink" Target="https://lcsc.com/brand-detail/254.html" TargetMode="External"/><Relationship Id="rId24" Type="http://schemas.openxmlformats.org/officeDocument/2006/relationships/hyperlink" Target="https://lcsc.com/product-detail/Light-Emitting-Diodes-LED_Lite-On-LTST-C191KGKT_C125098.html" TargetMode="External"/><Relationship Id="rId32" Type="http://schemas.openxmlformats.org/officeDocument/2006/relationships/hyperlink" Target="https://lcsc.com/product-detail/USB-Connectors_Amphenol_10118192-0001LF_10118192-0001LF_C132564.html" TargetMode="External"/><Relationship Id="rId37" Type="http://schemas.openxmlformats.org/officeDocument/2006/relationships/hyperlink" Target="https://lcsc.com/brand-detail/842.html" TargetMode="External"/><Relationship Id="rId40" Type="http://schemas.openxmlformats.org/officeDocument/2006/relationships/hyperlink" Target="https://lcsc.com/brand-detail/396.html" TargetMode="External"/><Relationship Id="rId45" Type="http://schemas.openxmlformats.org/officeDocument/2006/relationships/hyperlink" Target="https://lcsc.com/product-detail/Chip-Resistor-Surface-Mount_PANASONIC-ERJ2GEJ102X_C409846.html" TargetMode="External"/><Relationship Id="rId53" Type="http://schemas.openxmlformats.org/officeDocument/2006/relationships/hyperlink" Target="https://lcsc.com/brand-detail/11534.html" TargetMode="External"/><Relationship Id="rId58" Type="http://schemas.openxmlformats.org/officeDocument/2006/relationships/hyperlink" Target="https://lcsc.com/product-detail/Dropout-Regulators-LDO_ON-Semiconductor-NCP3335ADM330R2G_C154793.html" TargetMode="External"/><Relationship Id="rId66" Type="http://schemas.openxmlformats.org/officeDocument/2006/relationships/hyperlink" Target="https://lcsc.com/product-detail/Schottky-Barrier-Diodes-SBD_ON-Semiconductor-MBR120VLSFT1G_C223608.html" TargetMode="External"/><Relationship Id="rId5" Type="http://schemas.openxmlformats.org/officeDocument/2006/relationships/hyperlink" Target="https://lcsc.com/brand-detail/392.html" TargetMode="External"/><Relationship Id="rId61" Type="http://schemas.openxmlformats.org/officeDocument/2006/relationships/hyperlink" Target="https://lcsc.com/brand-detail/110.html" TargetMode="External"/><Relationship Id="rId19" Type="http://schemas.openxmlformats.org/officeDocument/2006/relationships/hyperlink" Target="https://lcsc.com/brand-detail/296.html" TargetMode="External"/><Relationship Id="rId14" Type="http://schemas.openxmlformats.org/officeDocument/2006/relationships/hyperlink" Target="https://lcsc.com/product-detail/Multilayer-Ceramic-Capacitors-MLCC-SMD-SMT_muRata_GRM155R61E105KA12D_1uF-105-10-25V_C77009.html" TargetMode="External"/><Relationship Id="rId22" Type="http://schemas.openxmlformats.org/officeDocument/2006/relationships/hyperlink" Target="https://lcsc.com/product-detail/Transistors-NPN-PNP_ON-Semiconductor-MMBT918LT1G_C232603.html" TargetMode="External"/><Relationship Id="rId27" Type="http://schemas.openxmlformats.org/officeDocument/2006/relationships/hyperlink" Target="https://www.digikey.com/en/supplier-centers/wurth-electronics" TargetMode="External"/><Relationship Id="rId30" Type="http://schemas.openxmlformats.org/officeDocument/2006/relationships/hyperlink" Target="https://lcsc.com/brand-detail/1262.html" TargetMode="External"/><Relationship Id="rId35" Type="http://schemas.openxmlformats.org/officeDocument/2006/relationships/hyperlink" Target="https://lcsc.com/brand-detail/396.html" TargetMode="External"/><Relationship Id="rId43" Type="http://schemas.openxmlformats.org/officeDocument/2006/relationships/hyperlink" Target="https://lcsc.com/product-detail/Chip-Resistor-Surface-Mount_20KR-203-5_C137902.html" TargetMode="External"/><Relationship Id="rId48" Type="http://schemas.openxmlformats.org/officeDocument/2006/relationships/hyperlink" Target="https://lcsc.com/brand-detail/396.html" TargetMode="External"/><Relationship Id="rId56" Type="http://schemas.openxmlformats.org/officeDocument/2006/relationships/hyperlink" Target="https://lcsc.com/product-detail/Others_Omron-Electronics_B3U-1000P_Omron-Electronics-B3U-1000P_C231329.html" TargetMode="External"/><Relationship Id="rId64" Type="http://schemas.openxmlformats.org/officeDocument/2006/relationships/hyperlink" Target="https://lcsc.com/product-detail/SMD-Crystal-Resonators_TXC-Corp-7B08070001_C331620.html" TargetMode="External"/><Relationship Id="rId69" Type="http://schemas.openxmlformats.org/officeDocument/2006/relationships/hyperlink" Target="https://pl.aliexpress.com/item/32893189184.html" TargetMode="External"/><Relationship Id="rId8" Type="http://schemas.openxmlformats.org/officeDocument/2006/relationships/hyperlink" Target="https://lcsc.com/product-detail/Multilayer-Ceramic-Capacitors-MLCC-SMD-SMT_100nF-104-10-16V_C60474.html" TargetMode="External"/><Relationship Id="rId51" Type="http://schemas.openxmlformats.org/officeDocument/2006/relationships/hyperlink" Target="https://lcsc.com/brand-detail/413.html" TargetMode="External"/><Relationship Id="rId3" Type="http://schemas.openxmlformats.org/officeDocument/2006/relationships/hyperlink" Target="https://lcsc.com/brand-detail/396.html" TargetMode="External"/><Relationship Id="rId12" Type="http://schemas.openxmlformats.org/officeDocument/2006/relationships/hyperlink" Target="https://lcsc.com/product-detail/Multilayer-Ceramic-Capacitors-MLCC-SMD-SMT_SAMSUNG_CL10A475KA8NQNC_4-7uF-475-10-25V_C69335.html" TargetMode="External"/><Relationship Id="rId17" Type="http://schemas.openxmlformats.org/officeDocument/2006/relationships/hyperlink" Target="https://lcsc.com/brand-detail/79.html" TargetMode="External"/><Relationship Id="rId25" Type="http://schemas.openxmlformats.org/officeDocument/2006/relationships/hyperlink" Target="https://lcsc.com/product-detail/Light-Emitting-Diodes-LED_SMD-blue_C125103.html" TargetMode="External"/><Relationship Id="rId33" Type="http://schemas.openxmlformats.org/officeDocument/2006/relationships/hyperlink" Target="https://lcsc.com/brand-detail/109.html" TargetMode="External"/><Relationship Id="rId38" Type="http://schemas.openxmlformats.org/officeDocument/2006/relationships/hyperlink" Target="https://lcsc.com/product-detail/Chip-Resistor-Surface-Mount_KOA-Speer-Elec-RK73B1ETTP103J_C159873.html" TargetMode="External"/><Relationship Id="rId46" Type="http://schemas.openxmlformats.org/officeDocument/2006/relationships/hyperlink" Target="https://lcsc.com/brand-detail/396.html" TargetMode="External"/><Relationship Id="rId59" Type="http://schemas.openxmlformats.org/officeDocument/2006/relationships/hyperlink" Target="https://lcsc.com/brand-detail/100.html" TargetMode="External"/><Relationship Id="rId67" Type="http://schemas.openxmlformats.org/officeDocument/2006/relationships/hyperlink" Target="https://www.digikey.com/en/products/detail/panasonic-electronic-components/ESE-18R61D/822276?s=N4IgTCBcDaIKIGU4EYAcAlAbMgIiAugL5A" TargetMode="External"/><Relationship Id="rId20" Type="http://schemas.openxmlformats.org/officeDocument/2006/relationships/hyperlink" Target="https://lcsc.com/product-detail/MOSFET_Diodes-Incorporated-DMP2045U-7_C459541.html" TargetMode="External"/><Relationship Id="rId41" Type="http://schemas.openxmlformats.org/officeDocument/2006/relationships/hyperlink" Target="https://lcsc.com/product-detail/Chip-Resistor-Surface-Mount_330R-330R-1_C105881.html" TargetMode="External"/><Relationship Id="rId54" Type="http://schemas.openxmlformats.org/officeDocument/2006/relationships/hyperlink" Target="https://lcsc.com/product-detail/Toggle-Switches_C-K_OS102011MA1QN1_C-K-OS102011MA1QN1_C226259.html" TargetMode="External"/><Relationship Id="rId62" Type="http://schemas.openxmlformats.org/officeDocument/2006/relationships/hyperlink" Target="https://lcsc.com/product-detail/TVS_Littelfuse-SP3014-02UTG_C207282.html" TargetMode="External"/><Relationship Id="rId70" Type="http://schemas.openxmlformats.org/officeDocument/2006/relationships/hyperlink" Target="https://lcsc.com/product-detail/Buzzers_KELIKING-KLJ-1230_C201042.html" TargetMode="External"/><Relationship Id="rId1" Type="http://schemas.openxmlformats.org/officeDocument/2006/relationships/hyperlink" Target="https://lcsc.com/brand-detail/396.html" TargetMode="External"/><Relationship Id="rId6" Type="http://schemas.openxmlformats.org/officeDocument/2006/relationships/hyperlink" Target="https://lcsc.com/product-detail/Multilayer-Ceramic-Capacitors-MLCC-SMD-SMT_TAIYO-YUDEN_UMK107AB7105KA-T_1uF-105-10-50V_C105174.html" TargetMode="External"/><Relationship Id="rId15" Type="http://schemas.openxmlformats.org/officeDocument/2006/relationships/hyperlink" Target="https://lcsc.com/brand-detail/254.html" TargetMode="External"/><Relationship Id="rId23" Type="http://schemas.openxmlformats.org/officeDocument/2006/relationships/hyperlink" Target="https://lcsc.com/brand-detail/68.html" TargetMode="External"/><Relationship Id="rId28" Type="http://schemas.openxmlformats.org/officeDocument/2006/relationships/hyperlink" Target="https://lcsc.com/product-detail/Pin-Header-Female-Header_Ckmtw-Shenzhen-Cankemeng-C124378_C124378.html" TargetMode="External"/><Relationship Id="rId36" Type="http://schemas.openxmlformats.org/officeDocument/2006/relationships/hyperlink" Target="https://lcsc.com/product-detail/High-Precision-Low-TCR-SMD-Resistors_100KR-1003-0-1_C122538.html" TargetMode="External"/><Relationship Id="rId49" Type="http://schemas.openxmlformats.org/officeDocument/2006/relationships/hyperlink" Target="https://lcsc.com/product-detail/Chip-Resistor-Surface-Mount_47KR-4702-1_C93943.html" TargetMode="External"/><Relationship Id="rId57" Type="http://schemas.openxmlformats.org/officeDocument/2006/relationships/hyperlink" Target="https://lcsc.com/brand-detail/94.html" TargetMode="External"/><Relationship Id="rId10" Type="http://schemas.openxmlformats.org/officeDocument/2006/relationships/hyperlink" Target="https://lcsc.com/product-detail/Multilayer-Ceramic-Capacitors-MLCC-SMD-SMT_Murata-Electronics-GJM0336C1E200JB01D_C161300.html" TargetMode="External"/><Relationship Id="rId31" Type="http://schemas.openxmlformats.org/officeDocument/2006/relationships/hyperlink" Target="https://lcsc.com/brand-detail/815.html" TargetMode="External"/><Relationship Id="rId44" Type="http://schemas.openxmlformats.org/officeDocument/2006/relationships/hyperlink" Target="https://lcsc.com/brand-detail/121.html" TargetMode="External"/><Relationship Id="rId52" Type="http://schemas.openxmlformats.org/officeDocument/2006/relationships/hyperlink" Target="https://lcsc.com/product-detail/Others_Omron-Electronics_B3FS-1012P_Omron-Electronics-B3FS-1012P_C271753.html" TargetMode="External"/><Relationship Id="rId60" Type="http://schemas.openxmlformats.org/officeDocument/2006/relationships/hyperlink" Target="https://lcsc.com/product-detail/PMIC-Battery-Management_Texas-Instruments-BQ21040DBVR_C202311.html" TargetMode="External"/><Relationship Id="rId65" Type="http://schemas.openxmlformats.org/officeDocument/2006/relationships/hyperlink" Target="https://lcsc.com/product-detail/Chip-Resistor-Surface-Mount_27R-27R0-1_C138021.html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brand-detail/79.html" TargetMode="External"/><Relationship Id="rId13" Type="http://schemas.openxmlformats.org/officeDocument/2006/relationships/hyperlink" Target="https://lcsc.com/brand-detail/79.html" TargetMode="External"/><Relationship Id="rId18" Type="http://schemas.openxmlformats.org/officeDocument/2006/relationships/hyperlink" Target="https://lcsc.com/product-detail/Multilayer-Ceramic-Capacitors-MLCC-SMD-SMT_Murata-Electronics-GCM1555C1H470JA16D_C126511.html" TargetMode="External"/><Relationship Id="rId39" Type="http://schemas.openxmlformats.org/officeDocument/2006/relationships/hyperlink" Target="https://lcsc.com/product-detail/Chip-Resistor-Surface-Mount_UNI-ROYAL-Uniroyal-Elec-0603WAF6650T5E_C23096.html" TargetMode="External"/><Relationship Id="rId34" Type="http://schemas.openxmlformats.org/officeDocument/2006/relationships/hyperlink" Target="https://lcsc.com/product-detail/USB-Connectors_TE-Connectivity_292303-1_high-qualityUSB2-0-AType-female-seat_C86461.html" TargetMode="External"/><Relationship Id="rId50" Type="http://schemas.openxmlformats.org/officeDocument/2006/relationships/hyperlink" Target="https://lcsc.com/brand-detail/396.html" TargetMode="External"/><Relationship Id="rId55" Type="http://schemas.openxmlformats.org/officeDocument/2006/relationships/hyperlink" Target="https://lcsc.com/brand-detail/4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8"/>
  <sheetViews>
    <sheetView tabSelected="1" topLeftCell="E1" zoomScale="85" zoomScaleNormal="85" workbookViewId="0">
      <selection activeCell="E21" sqref="E21"/>
    </sheetView>
  </sheetViews>
  <sheetFormatPr defaultRowHeight="15" x14ac:dyDescent="0.25"/>
  <cols>
    <col min="1" max="1" width="6.7109375" style="52" bestFit="1" customWidth="1"/>
    <col min="2" max="2" width="15.7109375" bestFit="1" customWidth="1"/>
    <col min="3" max="3" width="47" customWidth="1"/>
    <col min="4" max="4" width="50.5703125" style="50" bestFit="1" customWidth="1"/>
    <col min="5" max="5" width="20.5703125" bestFit="1" customWidth="1"/>
    <col min="6" max="6" width="28.42578125" bestFit="1" customWidth="1"/>
    <col min="7" max="7" width="29" bestFit="1" customWidth="1"/>
    <col min="8" max="8" width="8.42578125" customWidth="1"/>
    <col min="10" max="10" width="15.42578125" bestFit="1" customWidth="1"/>
    <col min="11" max="11" width="14.85546875" bestFit="1" customWidth="1"/>
    <col min="12" max="12" width="19.140625" bestFit="1" customWidth="1"/>
    <col min="13" max="13" width="7.85546875" bestFit="1" customWidth="1"/>
    <col min="14" max="14" width="17.42578125" style="61" bestFit="1" customWidth="1"/>
    <col min="15" max="15" width="18.140625" bestFit="1" customWidth="1"/>
    <col min="16" max="16" width="20.28515625" bestFit="1" customWidth="1"/>
    <col min="17" max="17" width="20.85546875" bestFit="1" customWidth="1"/>
    <col min="18" max="18" width="48.28515625" bestFit="1" customWidth="1"/>
    <col min="21" max="21" width="15.5703125" customWidth="1"/>
  </cols>
  <sheetData>
    <row r="1" spans="1:27" ht="19.5" thickBot="1" x14ac:dyDescent="0.3">
      <c r="A1" s="186" t="s">
        <v>167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8"/>
      <c r="S1" s="1"/>
      <c r="T1" s="1"/>
      <c r="U1" s="1"/>
      <c r="V1" s="1"/>
      <c r="W1" s="1"/>
      <c r="X1" s="1"/>
      <c r="Y1" s="1"/>
      <c r="Z1" s="1"/>
      <c r="AA1" s="1"/>
    </row>
    <row r="2" spans="1:27" ht="16.5" thickBot="1" x14ac:dyDescent="0.3">
      <c r="A2" s="72" t="s">
        <v>129</v>
      </c>
      <c r="B2" s="72" t="s">
        <v>130</v>
      </c>
      <c r="C2" s="73" t="s">
        <v>0</v>
      </c>
      <c r="D2" s="72" t="s">
        <v>1</v>
      </c>
      <c r="E2" s="72" t="s">
        <v>131</v>
      </c>
      <c r="F2" s="72" t="s">
        <v>132</v>
      </c>
      <c r="G2" s="72" t="s">
        <v>133</v>
      </c>
      <c r="H2" s="72" t="s">
        <v>134</v>
      </c>
      <c r="I2" s="72" t="s">
        <v>2</v>
      </c>
      <c r="J2" s="72" t="s">
        <v>135</v>
      </c>
      <c r="K2" s="72" t="s">
        <v>136</v>
      </c>
      <c r="L2" s="72" t="s">
        <v>184</v>
      </c>
      <c r="M2" s="72" t="s">
        <v>137</v>
      </c>
      <c r="N2" s="72" t="s">
        <v>138</v>
      </c>
      <c r="O2" s="72" t="s">
        <v>139</v>
      </c>
      <c r="P2" s="72" t="s">
        <v>140</v>
      </c>
      <c r="Q2" s="72" t="s">
        <v>141</v>
      </c>
      <c r="R2" s="73" t="s">
        <v>142</v>
      </c>
      <c r="S2" s="3"/>
      <c r="T2" s="3"/>
      <c r="U2" s="3"/>
    </row>
    <row r="3" spans="1:27" ht="16.5" thickBot="1" x14ac:dyDescent="0.3">
      <c r="A3" s="5">
        <v>1</v>
      </c>
      <c r="B3" s="189" t="str">
        <f>[1]Finalized!$B$23</f>
        <v>Capacitor</v>
      </c>
      <c r="C3" s="128" t="s">
        <v>4</v>
      </c>
      <c r="D3" s="118" t="s">
        <v>5</v>
      </c>
      <c r="E3" s="8" t="s">
        <v>6</v>
      </c>
      <c r="F3" s="70" t="s">
        <v>7</v>
      </c>
      <c r="G3" s="9" t="s">
        <v>143</v>
      </c>
      <c r="H3" s="8" t="s">
        <v>3</v>
      </c>
      <c r="I3" s="10">
        <v>2</v>
      </c>
      <c r="J3" s="11">
        <f t="shared" ref="J3:J44" si="0">I3*3</f>
        <v>6</v>
      </c>
      <c r="K3" s="11">
        <v>100</v>
      </c>
      <c r="L3" s="11" t="s">
        <v>185</v>
      </c>
      <c r="M3" s="9" t="s">
        <v>144</v>
      </c>
      <c r="N3" s="56">
        <v>2.0049999999999998E-3</v>
      </c>
      <c r="O3" s="36">
        <f>N3*K3</f>
        <v>0.20049999999999998</v>
      </c>
      <c r="P3" s="36">
        <v>0.1</v>
      </c>
      <c r="Q3" s="37">
        <f>P3*J3</f>
        <v>0.60000000000000009</v>
      </c>
      <c r="R3" s="12"/>
      <c r="S3" s="6"/>
      <c r="T3" s="6"/>
      <c r="U3" s="3"/>
    </row>
    <row r="4" spans="1:27" ht="16.5" thickBot="1" x14ac:dyDescent="0.3">
      <c r="A4" s="5">
        <v>2</v>
      </c>
      <c r="B4" s="190"/>
      <c r="C4" s="129" t="s">
        <v>9</v>
      </c>
      <c r="D4" s="119" t="s">
        <v>10</v>
      </c>
      <c r="E4" s="13" t="s">
        <v>11</v>
      </c>
      <c r="F4" s="71" t="s">
        <v>12</v>
      </c>
      <c r="G4" s="14" t="s">
        <v>143</v>
      </c>
      <c r="H4" s="13" t="s">
        <v>8</v>
      </c>
      <c r="I4" s="15">
        <v>2</v>
      </c>
      <c r="J4" s="16">
        <f t="shared" si="0"/>
        <v>6</v>
      </c>
      <c r="K4" s="16">
        <v>50</v>
      </c>
      <c r="L4" s="16" t="s">
        <v>186</v>
      </c>
      <c r="M4" s="17" t="s">
        <v>144</v>
      </c>
      <c r="N4" s="57">
        <v>5.0429999999999997E-3</v>
      </c>
      <c r="O4" s="38">
        <f t="shared" ref="O4:O44" si="1">N4*K4</f>
        <v>0.25214999999999999</v>
      </c>
      <c r="P4" s="38">
        <v>0.1</v>
      </c>
      <c r="Q4" s="39">
        <f t="shared" ref="Q4:Q44" si="2">P4*J4</f>
        <v>0.60000000000000009</v>
      </c>
      <c r="R4" s="18"/>
      <c r="S4" s="6"/>
      <c r="T4" s="6"/>
      <c r="U4" s="3"/>
    </row>
    <row r="5" spans="1:27" ht="16.5" thickBot="1" x14ac:dyDescent="0.3">
      <c r="A5" s="5">
        <v>3</v>
      </c>
      <c r="B5" s="190"/>
      <c r="C5" s="129" t="s">
        <v>14</v>
      </c>
      <c r="D5" s="119" t="s">
        <v>15</v>
      </c>
      <c r="E5" s="13" t="s">
        <v>11</v>
      </c>
      <c r="F5" s="71" t="s">
        <v>16</v>
      </c>
      <c r="G5" s="14" t="s">
        <v>145</v>
      </c>
      <c r="H5" s="13" t="s">
        <v>13</v>
      </c>
      <c r="I5" s="15">
        <v>3</v>
      </c>
      <c r="J5" s="16">
        <f t="shared" si="0"/>
        <v>9</v>
      </c>
      <c r="K5" s="16">
        <v>20</v>
      </c>
      <c r="L5" s="16" t="s">
        <v>187</v>
      </c>
      <c r="M5" s="17" t="s">
        <v>144</v>
      </c>
      <c r="N5" s="57">
        <v>1.8817E-2</v>
      </c>
      <c r="O5" s="38">
        <f t="shared" si="1"/>
        <v>0.37634000000000001</v>
      </c>
      <c r="P5" s="38">
        <v>0.28000000000000003</v>
      </c>
      <c r="Q5" s="39">
        <f t="shared" si="2"/>
        <v>2.5200000000000005</v>
      </c>
      <c r="R5" s="18"/>
      <c r="S5" s="6"/>
      <c r="T5" s="6"/>
      <c r="U5" s="3"/>
    </row>
    <row r="6" spans="1:27" ht="60.75" thickBot="1" x14ac:dyDescent="0.3">
      <c r="A6" s="5">
        <v>4</v>
      </c>
      <c r="B6" s="190"/>
      <c r="C6" s="130" t="s">
        <v>17</v>
      </c>
      <c r="D6" s="120" t="s">
        <v>18</v>
      </c>
      <c r="E6" s="13" t="s">
        <v>6</v>
      </c>
      <c r="F6" s="71" t="s">
        <v>19</v>
      </c>
      <c r="G6" s="17" t="s">
        <v>143</v>
      </c>
      <c r="H6" s="13" t="s">
        <v>8</v>
      </c>
      <c r="I6" s="15">
        <v>30</v>
      </c>
      <c r="J6" s="16">
        <f t="shared" si="0"/>
        <v>90</v>
      </c>
      <c r="K6" s="16">
        <v>100</v>
      </c>
      <c r="L6" s="16" t="s">
        <v>188</v>
      </c>
      <c r="M6" s="17" t="s">
        <v>144</v>
      </c>
      <c r="N6" s="58">
        <v>9.6400000000000001E-4</v>
      </c>
      <c r="O6" s="38">
        <f t="shared" si="1"/>
        <v>9.64E-2</v>
      </c>
      <c r="P6" s="38">
        <v>0.1</v>
      </c>
      <c r="Q6" s="39">
        <f t="shared" si="2"/>
        <v>9</v>
      </c>
      <c r="R6" s="18"/>
      <c r="S6" s="6"/>
      <c r="T6" s="6"/>
      <c r="U6" s="3"/>
    </row>
    <row r="7" spans="1:27" ht="16.5" thickBot="1" x14ac:dyDescent="0.3">
      <c r="A7" s="5">
        <v>5</v>
      </c>
      <c r="B7" s="190"/>
      <c r="C7" s="33" t="s">
        <v>21</v>
      </c>
      <c r="D7" s="119" t="s">
        <v>22</v>
      </c>
      <c r="E7" s="13" t="s">
        <v>23</v>
      </c>
      <c r="F7" s="71" t="s">
        <v>24</v>
      </c>
      <c r="G7" s="14" t="s">
        <v>146</v>
      </c>
      <c r="H7" s="13" t="s">
        <v>20</v>
      </c>
      <c r="I7" s="15">
        <v>2</v>
      </c>
      <c r="J7" s="16">
        <f t="shared" si="0"/>
        <v>6</v>
      </c>
      <c r="K7" s="16">
        <v>20</v>
      </c>
      <c r="L7" s="16" t="s">
        <v>189</v>
      </c>
      <c r="M7" s="17" t="s">
        <v>144</v>
      </c>
      <c r="N7" s="57">
        <v>1.7239999999999998E-2</v>
      </c>
      <c r="O7" s="38">
        <f t="shared" si="1"/>
        <v>0.3448</v>
      </c>
      <c r="P7" s="38">
        <v>0.1</v>
      </c>
      <c r="Q7" s="39">
        <f t="shared" si="2"/>
        <v>0.60000000000000009</v>
      </c>
      <c r="R7" s="18"/>
      <c r="S7" s="6"/>
      <c r="T7" s="6"/>
      <c r="U7" s="3"/>
    </row>
    <row r="8" spans="1:27" ht="16.5" thickBot="1" x14ac:dyDescent="0.3">
      <c r="A8" s="5">
        <v>6</v>
      </c>
      <c r="B8" s="190"/>
      <c r="C8" s="33" t="s">
        <v>26</v>
      </c>
      <c r="D8" s="119" t="s">
        <v>27</v>
      </c>
      <c r="E8" s="13" t="s">
        <v>11</v>
      </c>
      <c r="F8" s="71" t="s">
        <v>28</v>
      </c>
      <c r="G8" s="17" t="s">
        <v>147</v>
      </c>
      <c r="H8" s="13" t="s">
        <v>25</v>
      </c>
      <c r="I8" s="15">
        <v>1</v>
      </c>
      <c r="J8" s="16">
        <f t="shared" si="0"/>
        <v>3</v>
      </c>
      <c r="K8" s="16">
        <v>20</v>
      </c>
      <c r="L8" s="16" t="s">
        <v>190</v>
      </c>
      <c r="M8" s="17" t="s">
        <v>144</v>
      </c>
      <c r="N8" s="59">
        <v>2.4278000000000001E-2</v>
      </c>
      <c r="O8" s="38">
        <f t="shared" si="1"/>
        <v>0.48555999999999999</v>
      </c>
      <c r="P8" s="38">
        <v>0.35</v>
      </c>
      <c r="Q8" s="39">
        <f t="shared" si="2"/>
        <v>1.0499999999999998</v>
      </c>
      <c r="R8" s="18"/>
      <c r="S8" s="6"/>
      <c r="T8" s="6"/>
      <c r="U8" s="3"/>
    </row>
    <row r="9" spans="1:27" ht="16.5" thickBot="1" x14ac:dyDescent="0.3">
      <c r="A9" s="5">
        <v>7</v>
      </c>
      <c r="B9" s="190"/>
      <c r="C9" s="33" t="s">
        <v>29</v>
      </c>
      <c r="D9" s="119" t="s">
        <v>30</v>
      </c>
      <c r="E9" s="13" t="s">
        <v>6</v>
      </c>
      <c r="F9" s="71" t="s">
        <v>31</v>
      </c>
      <c r="G9" s="14" t="s">
        <v>146</v>
      </c>
      <c r="H9" s="13" t="s">
        <v>13</v>
      </c>
      <c r="I9" s="15">
        <v>1</v>
      </c>
      <c r="J9" s="16">
        <f t="shared" si="0"/>
        <v>3</v>
      </c>
      <c r="K9" s="16">
        <v>50</v>
      </c>
      <c r="L9" s="16" t="s">
        <v>191</v>
      </c>
      <c r="M9" s="17" t="s">
        <v>144</v>
      </c>
      <c r="N9" s="57">
        <v>6.0769999999999999E-3</v>
      </c>
      <c r="O9" s="38">
        <f t="shared" si="1"/>
        <v>0.30385000000000001</v>
      </c>
      <c r="P9" s="38">
        <v>0.11</v>
      </c>
      <c r="Q9" s="39">
        <f t="shared" si="2"/>
        <v>0.33</v>
      </c>
      <c r="R9" s="18"/>
      <c r="S9" s="6"/>
      <c r="T9" s="6"/>
      <c r="U9" s="3"/>
    </row>
    <row r="10" spans="1:27" ht="16.5" thickBot="1" x14ac:dyDescent="0.3">
      <c r="A10" s="5">
        <v>8</v>
      </c>
      <c r="B10" s="190"/>
      <c r="C10" s="33" t="s">
        <v>33</v>
      </c>
      <c r="D10" s="119" t="s">
        <v>34</v>
      </c>
      <c r="E10" s="13" t="s">
        <v>6</v>
      </c>
      <c r="F10" s="71" t="s">
        <v>35</v>
      </c>
      <c r="G10" s="14" t="s">
        <v>147</v>
      </c>
      <c r="H10" s="13" t="s">
        <v>32</v>
      </c>
      <c r="I10" s="15">
        <v>2</v>
      </c>
      <c r="J10" s="16">
        <f t="shared" si="0"/>
        <v>6</v>
      </c>
      <c r="K10" s="16">
        <v>15</v>
      </c>
      <c r="L10" s="16" t="s">
        <v>192</v>
      </c>
      <c r="M10" s="17" t="s">
        <v>144</v>
      </c>
      <c r="N10" s="58">
        <v>0.11522</v>
      </c>
      <c r="O10" s="38">
        <f t="shared" si="1"/>
        <v>1.7282999999999999</v>
      </c>
      <c r="P10" s="38">
        <v>0.36</v>
      </c>
      <c r="Q10" s="39">
        <f t="shared" si="2"/>
        <v>2.16</v>
      </c>
      <c r="R10" s="18"/>
      <c r="S10" s="6"/>
      <c r="T10" s="6"/>
      <c r="U10" s="3"/>
    </row>
    <row r="11" spans="1:27" ht="16.5" thickBot="1" x14ac:dyDescent="0.3">
      <c r="A11" s="5">
        <v>9</v>
      </c>
      <c r="B11" s="191"/>
      <c r="C11" s="34" t="s">
        <v>37</v>
      </c>
      <c r="D11" s="121" t="s">
        <v>38</v>
      </c>
      <c r="E11" s="19" t="s">
        <v>6</v>
      </c>
      <c r="F11" s="63" t="s">
        <v>39</v>
      </c>
      <c r="G11" s="20" t="s">
        <v>146</v>
      </c>
      <c r="H11" s="19" t="s">
        <v>36</v>
      </c>
      <c r="I11" s="21">
        <v>4</v>
      </c>
      <c r="J11" s="22">
        <f t="shared" si="0"/>
        <v>12</v>
      </c>
      <c r="K11" s="22">
        <v>50</v>
      </c>
      <c r="L11" s="22" t="s">
        <v>193</v>
      </c>
      <c r="M11" s="20" t="s">
        <v>144</v>
      </c>
      <c r="N11" s="60">
        <v>7.0169999999999998E-3</v>
      </c>
      <c r="O11" s="40">
        <f t="shared" si="1"/>
        <v>0.35085</v>
      </c>
      <c r="P11" s="40">
        <v>0.1</v>
      </c>
      <c r="Q11" s="41">
        <f t="shared" si="2"/>
        <v>1.2000000000000002</v>
      </c>
      <c r="R11" s="23"/>
      <c r="S11" s="6"/>
      <c r="T11" s="6"/>
      <c r="U11" s="3"/>
    </row>
    <row r="12" spans="1:27" ht="16.5" thickBot="1" x14ac:dyDescent="0.3">
      <c r="A12" s="5">
        <v>10</v>
      </c>
      <c r="B12" s="189" t="s">
        <v>161</v>
      </c>
      <c r="C12" s="32" t="s">
        <v>56</v>
      </c>
      <c r="D12" s="118" t="s">
        <v>57</v>
      </c>
      <c r="E12" s="8" t="s">
        <v>58</v>
      </c>
      <c r="F12" s="70" t="s">
        <v>55</v>
      </c>
      <c r="G12" s="24" t="s">
        <v>150</v>
      </c>
      <c r="H12" s="8" t="s">
        <v>175</v>
      </c>
      <c r="I12" s="10">
        <v>1</v>
      </c>
      <c r="J12" s="11">
        <f t="shared" si="0"/>
        <v>3</v>
      </c>
      <c r="K12" s="11">
        <v>10</v>
      </c>
      <c r="L12" s="11" t="s">
        <v>194</v>
      </c>
      <c r="M12" s="9" t="s">
        <v>144</v>
      </c>
      <c r="N12" s="56">
        <v>0.11555</v>
      </c>
      <c r="O12" s="36">
        <f t="shared" si="1"/>
        <v>1.1555</v>
      </c>
      <c r="P12" s="36">
        <v>0.43</v>
      </c>
      <c r="Q12" s="37">
        <f t="shared" si="2"/>
        <v>1.29</v>
      </c>
      <c r="R12" s="12"/>
      <c r="S12" s="7"/>
      <c r="T12" s="7"/>
      <c r="U12" s="4"/>
      <c r="V12" s="2"/>
      <c r="W12" s="2"/>
    </row>
    <row r="13" spans="1:27" ht="30.75" thickBot="1" x14ac:dyDescent="0.3">
      <c r="A13" s="5">
        <v>11</v>
      </c>
      <c r="B13" s="191"/>
      <c r="C13" s="76" t="s">
        <v>60</v>
      </c>
      <c r="D13" s="118" t="s">
        <v>237</v>
      </c>
      <c r="E13" s="19" t="s">
        <v>58</v>
      </c>
      <c r="F13" s="63" t="s">
        <v>59</v>
      </c>
      <c r="G13" s="25" t="s">
        <v>151</v>
      </c>
      <c r="H13" s="19" t="s">
        <v>175</v>
      </c>
      <c r="I13" s="21">
        <v>11</v>
      </c>
      <c r="J13" s="22">
        <f t="shared" si="0"/>
        <v>33</v>
      </c>
      <c r="K13" s="22">
        <v>40</v>
      </c>
      <c r="L13" s="22" t="s">
        <v>195</v>
      </c>
      <c r="M13" s="20" t="s">
        <v>144</v>
      </c>
      <c r="N13" s="77">
        <v>5.7482999999999999E-2</v>
      </c>
      <c r="O13" s="40">
        <f>N13*K13</f>
        <v>2.2993199999999998</v>
      </c>
      <c r="P13" s="40">
        <v>0.28000000000000003</v>
      </c>
      <c r="Q13" s="41">
        <f t="shared" si="2"/>
        <v>9.24</v>
      </c>
      <c r="R13" s="23"/>
      <c r="S13" s="6"/>
      <c r="T13" s="6"/>
      <c r="U13" s="3"/>
    </row>
    <row r="14" spans="1:27" ht="16.5" thickBot="1" x14ac:dyDescent="0.3">
      <c r="A14" s="5">
        <v>12</v>
      </c>
      <c r="B14" s="189" t="s">
        <v>162</v>
      </c>
      <c r="C14" s="108" t="s">
        <v>40</v>
      </c>
      <c r="D14" s="122" t="s">
        <v>41</v>
      </c>
      <c r="E14" s="70" t="s">
        <v>196</v>
      </c>
      <c r="F14" s="70" t="s">
        <v>197</v>
      </c>
      <c r="G14" s="192" t="s">
        <v>151</v>
      </c>
      <c r="H14" s="70" t="s">
        <v>175</v>
      </c>
      <c r="I14" s="110">
        <v>1</v>
      </c>
      <c r="J14" s="109">
        <f t="shared" si="0"/>
        <v>3</v>
      </c>
      <c r="K14" s="109">
        <v>10</v>
      </c>
      <c r="L14" s="109" t="s">
        <v>198</v>
      </c>
      <c r="M14" s="111" t="s">
        <v>144</v>
      </c>
      <c r="N14" s="112">
        <v>0.116785</v>
      </c>
      <c r="O14" s="113">
        <f t="shared" si="1"/>
        <v>1.1678500000000001</v>
      </c>
      <c r="P14" s="113">
        <v>0.44</v>
      </c>
      <c r="Q14" s="114">
        <f t="shared" si="2"/>
        <v>1.32</v>
      </c>
      <c r="R14" s="115"/>
      <c r="S14" s="6"/>
      <c r="T14" s="6"/>
      <c r="U14" s="3"/>
    </row>
    <row r="15" spans="1:27" ht="16.5" thickBot="1" x14ac:dyDescent="0.3">
      <c r="A15" s="5">
        <v>13</v>
      </c>
      <c r="B15" s="190"/>
      <c r="C15" s="33" t="s">
        <v>43</v>
      </c>
      <c r="D15" s="119" t="s">
        <v>44</v>
      </c>
      <c r="E15" s="13" t="s">
        <v>45</v>
      </c>
      <c r="F15" s="71" t="s">
        <v>42</v>
      </c>
      <c r="G15" s="17" t="s">
        <v>148</v>
      </c>
      <c r="H15" s="13" t="s">
        <v>175</v>
      </c>
      <c r="I15" s="15">
        <v>1</v>
      </c>
      <c r="J15" s="16">
        <f t="shared" si="0"/>
        <v>3</v>
      </c>
      <c r="K15" s="16">
        <v>20</v>
      </c>
      <c r="L15" s="16" t="s">
        <v>199</v>
      </c>
      <c r="M15" s="17" t="s">
        <v>144</v>
      </c>
      <c r="N15" s="57">
        <v>1.9056E-2</v>
      </c>
      <c r="O15" s="38">
        <f t="shared" si="1"/>
        <v>0.38112000000000001</v>
      </c>
      <c r="P15" s="38">
        <v>0.26</v>
      </c>
      <c r="Q15" s="39">
        <f t="shared" si="2"/>
        <v>0.78</v>
      </c>
      <c r="R15" s="18"/>
      <c r="S15" s="6"/>
      <c r="T15" s="6"/>
      <c r="U15" s="3"/>
    </row>
    <row r="16" spans="1:27" ht="16.5" thickBot="1" x14ac:dyDescent="0.3">
      <c r="A16" s="5">
        <v>14</v>
      </c>
      <c r="B16" s="191"/>
      <c r="C16" s="62" t="s">
        <v>46</v>
      </c>
      <c r="D16" s="127" t="s">
        <v>47</v>
      </c>
      <c r="E16" s="63" t="s">
        <v>45</v>
      </c>
      <c r="F16" s="63" t="s">
        <v>244</v>
      </c>
      <c r="G16" s="64" t="s">
        <v>148</v>
      </c>
      <c r="H16" s="63"/>
      <c r="I16" s="65">
        <v>2</v>
      </c>
      <c r="J16" s="66">
        <f t="shared" si="0"/>
        <v>6</v>
      </c>
      <c r="K16" s="66">
        <v>20</v>
      </c>
      <c r="L16" s="66" t="s">
        <v>200</v>
      </c>
      <c r="M16" s="94" t="s">
        <v>144</v>
      </c>
      <c r="N16" s="67">
        <v>1.7045000000000001E-2</v>
      </c>
      <c r="O16" s="68">
        <f t="shared" si="1"/>
        <v>0.34090000000000004</v>
      </c>
      <c r="P16" s="68">
        <v>0.44</v>
      </c>
      <c r="Q16" s="69">
        <f t="shared" si="2"/>
        <v>2.64</v>
      </c>
      <c r="R16" s="96"/>
      <c r="S16" s="6"/>
      <c r="T16" s="6"/>
      <c r="U16" s="3"/>
    </row>
    <row r="17" spans="1:21" ht="16.5" thickBot="1" x14ac:dyDescent="0.3">
      <c r="A17" s="5">
        <v>15</v>
      </c>
      <c r="B17" s="180" t="s">
        <v>163</v>
      </c>
      <c r="C17" s="32" t="s">
        <v>62</v>
      </c>
      <c r="D17" s="118" t="s">
        <v>63</v>
      </c>
      <c r="E17" s="8" t="s">
        <v>64</v>
      </c>
      <c r="F17" s="70" t="s">
        <v>65</v>
      </c>
      <c r="G17" s="24" t="s">
        <v>143</v>
      </c>
      <c r="H17" s="8" t="s">
        <v>61</v>
      </c>
      <c r="I17" s="10">
        <v>1</v>
      </c>
      <c r="J17" s="11">
        <f t="shared" si="0"/>
        <v>3</v>
      </c>
      <c r="K17" s="11">
        <v>20</v>
      </c>
      <c r="L17" s="11" t="s">
        <v>201</v>
      </c>
      <c r="M17" s="9" t="s">
        <v>144</v>
      </c>
      <c r="N17" s="56">
        <v>2.4726000000000001E-2</v>
      </c>
      <c r="O17" s="36">
        <f t="shared" si="1"/>
        <v>0.49452000000000002</v>
      </c>
      <c r="P17" s="36">
        <v>0.33</v>
      </c>
      <c r="Q17" s="37">
        <f t="shared" si="2"/>
        <v>0.99</v>
      </c>
      <c r="R17" s="12"/>
      <c r="S17" s="6"/>
      <c r="T17" s="6"/>
      <c r="U17" s="3"/>
    </row>
    <row r="18" spans="1:21" ht="30.75" thickBot="1" x14ac:dyDescent="0.3">
      <c r="A18" s="5">
        <v>16</v>
      </c>
      <c r="B18" s="181"/>
      <c r="C18" s="55" t="s">
        <v>67</v>
      </c>
      <c r="D18" s="124" t="s">
        <v>68</v>
      </c>
      <c r="E18" s="13" t="s">
        <v>69</v>
      </c>
      <c r="F18" s="71" t="s">
        <v>70</v>
      </c>
      <c r="G18" s="14" t="s">
        <v>152</v>
      </c>
      <c r="H18" s="13" t="s">
        <v>66</v>
      </c>
      <c r="I18" s="15">
        <v>23</v>
      </c>
      <c r="J18" s="16">
        <f t="shared" si="0"/>
        <v>69</v>
      </c>
      <c r="K18" s="16">
        <v>100</v>
      </c>
      <c r="L18" s="16" t="s">
        <v>202</v>
      </c>
      <c r="M18" s="17" t="s">
        <v>144</v>
      </c>
      <c r="N18" s="58">
        <v>2.2490000000000001E-3</v>
      </c>
      <c r="O18" s="38">
        <f t="shared" si="1"/>
        <v>0.22490000000000002</v>
      </c>
      <c r="P18" s="38">
        <v>0.1</v>
      </c>
      <c r="Q18" s="39">
        <f t="shared" si="2"/>
        <v>6.9</v>
      </c>
      <c r="R18" s="18"/>
      <c r="S18" s="6"/>
      <c r="T18" s="6"/>
      <c r="U18" s="3"/>
    </row>
    <row r="19" spans="1:21" ht="16.5" thickBot="1" x14ac:dyDescent="0.3">
      <c r="A19" s="5">
        <v>17</v>
      </c>
      <c r="B19" s="181"/>
      <c r="C19" s="131" t="s">
        <v>72</v>
      </c>
      <c r="D19" s="132" t="s">
        <v>73</v>
      </c>
      <c r="E19" s="71" t="s">
        <v>64</v>
      </c>
      <c r="F19" s="71" t="s">
        <v>245</v>
      </c>
      <c r="G19" s="133"/>
      <c r="H19" s="71" t="s">
        <v>71</v>
      </c>
      <c r="I19" s="134">
        <v>1</v>
      </c>
      <c r="J19" s="135">
        <f t="shared" si="0"/>
        <v>3</v>
      </c>
      <c r="K19" s="135">
        <v>100</v>
      </c>
      <c r="L19" s="135" t="s">
        <v>203</v>
      </c>
      <c r="M19" s="136" t="s">
        <v>144</v>
      </c>
      <c r="N19" s="137">
        <v>1.1659999999999999E-3</v>
      </c>
      <c r="O19" s="138">
        <f t="shared" si="1"/>
        <v>0.1166</v>
      </c>
      <c r="P19" s="138">
        <v>0.1</v>
      </c>
      <c r="Q19" s="139">
        <f t="shared" si="2"/>
        <v>0.30000000000000004</v>
      </c>
      <c r="R19" s="140"/>
      <c r="S19" s="6"/>
      <c r="T19" s="6"/>
      <c r="U19" s="3"/>
    </row>
    <row r="20" spans="1:21" ht="30.75" thickBot="1" x14ac:dyDescent="0.3">
      <c r="A20" s="5">
        <v>18</v>
      </c>
      <c r="B20" s="181"/>
      <c r="C20" s="33" t="s">
        <v>75</v>
      </c>
      <c r="D20" s="125" t="s">
        <v>238</v>
      </c>
      <c r="E20" s="13" t="s">
        <v>64</v>
      </c>
      <c r="F20" s="71" t="s">
        <v>76</v>
      </c>
      <c r="G20" s="17" t="s">
        <v>143</v>
      </c>
      <c r="H20" s="13" t="s">
        <v>74</v>
      </c>
      <c r="I20" s="15">
        <v>13</v>
      </c>
      <c r="J20" s="16">
        <f t="shared" si="0"/>
        <v>39</v>
      </c>
      <c r="K20" s="16">
        <v>100</v>
      </c>
      <c r="L20" s="16" t="s">
        <v>204</v>
      </c>
      <c r="M20" s="17" t="s">
        <v>144</v>
      </c>
      <c r="N20" s="57">
        <v>1.2589999999999999E-3</v>
      </c>
      <c r="O20" s="38">
        <f t="shared" si="1"/>
        <v>0.12589999999999998</v>
      </c>
      <c r="P20" s="38">
        <v>0.1</v>
      </c>
      <c r="Q20" s="39">
        <f t="shared" si="2"/>
        <v>3.9000000000000004</v>
      </c>
      <c r="R20" s="18"/>
      <c r="S20" s="6"/>
      <c r="T20" s="6"/>
      <c r="U20" s="3"/>
    </row>
    <row r="21" spans="1:21" ht="16.5" thickBot="1" x14ac:dyDescent="0.3">
      <c r="A21" s="5">
        <v>19</v>
      </c>
      <c r="B21" s="181"/>
      <c r="C21" s="33" t="s">
        <v>78</v>
      </c>
      <c r="D21" s="119" t="s">
        <v>79</v>
      </c>
      <c r="E21" s="13" t="s">
        <v>69</v>
      </c>
      <c r="F21" s="71" t="s">
        <v>80</v>
      </c>
      <c r="G21" s="14" t="s">
        <v>143</v>
      </c>
      <c r="H21" s="13" t="s">
        <v>77</v>
      </c>
      <c r="I21" s="15">
        <v>3</v>
      </c>
      <c r="J21" s="16">
        <f t="shared" si="0"/>
        <v>9</v>
      </c>
      <c r="K21" s="16">
        <v>100</v>
      </c>
      <c r="L21" s="16" t="s">
        <v>205</v>
      </c>
      <c r="M21" s="17" t="s">
        <v>144</v>
      </c>
      <c r="N21" s="57">
        <v>1.9919999999999998E-3</v>
      </c>
      <c r="O21" s="38">
        <f t="shared" si="1"/>
        <v>0.19919999999999999</v>
      </c>
      <c r="P21" s="38">
        <v>0.1</v>
      </c>
      <c r="Q21" s="39">
        <f t="shared" si="2"/>
        <v>0.9</v>
      </c>
      <c r="R21" s="18"/>
      <c r="S21" s="6"/>
      <c r="T21" s="6"/>
      <c r="U21" s="3"/>
    </row>
    <row r="22" spans="1:21" ht="16.5" thickBot="1" x14ac:dyDescent="0.3">
      <c r="A22" s="5">
        <v>20</v>
      </c>
      <c r="B22" s="181"/>
      <c r="C22" s="33" t="s">
        <v>82</v>
      </c>
      <c r="D22" s="125" t="s">
        <v>239</v>
      </c>
      <c r="E22" s="13" t="s">
        <v>69</v>
      </c>
      <c r="F22" s="71" t="s">
        <v>83</v>
      </c>
      <c r="G22" s="14" t="s">
        <v>153</v>
      </c>
      <c r="H22" s="13" t="s">
        <v>81</v>
      </c>
      <c r="I22" s="15">
        <v>2</v>
      </c>
      <c r="J22" s="16">
        <f t="shared" si="0"/>
        <v>6</v>
      </c>
      <c r="K22" s="16">
        <v>50</v>
      </c>
      <c r="L22" s="16" t="s">
        <v>206</v>
      </c>
      <c r="M22" s="17" t="s">
        <v>144</v>
      </c>
      <c r="N22" s="57">
        <v>3.6510000000000002E-3</v>
      </c>
      <c r="O22" s="38">
        <f t="shared" si="1"/>
        <v>0.18255000000000002</v>
      </c>
      <c r="P22" s="38">
        <v>0.1</v>
      </c>
      <c r="Q22" s="39">
        <f t="shared" si="2"/>
        <v>0.60000000000000009</v>
      </c>
      <c r="R22" s="18"/>
      <c r="S22" s="6"/>
      <c r="T22" s="6"/>
      <c r="U22" s="3"/>
    </row>
    <row r="23" spans="1:21" ht="16.5" thickBot="1" x14ac:dyDescent="0.3">
      <c r="A23" s="5">
        <v>21</v>
      </c>
      <c r="B23" s="181"/>
      <c r="C23" s="33" t="s">
        <v>85</v>
      </c>
      <c r="D23" s="125" t="s">
        <v>86</v>
      </c>
      <c r="E23" s="13" t="s">
        <v>69</v>
      </c>
      <c r="F23" s="71" t="s">
        <v>87</v>
      </c>
      <c r="G23" s="14" t="s">
        <v>143</v>
      </c>
      <c r="H23" s="13" t="s">
        <v>84</v>
      </c>
      <c r="I23" s="15">
        <v>10</v>
      </c>
      <c r="J23" s="16">
        <f t="shared" si="0"/>
        <v>30</v>
      </c>
      <c r="K23" s="16">
        <v>100</v>
      </c>
      <c r="L23" s="16" t="s">
        <v>207</v>
      </c>
      <c r="M23" s="17" t="s">
        <v>144</v>
      </c>
      <c r="N23" s="57">
        <v>6.5499999999999998E-4</v>
      </c>
      <c r="O23" s="38">
        <f t="shared" si="1"/>
        <v>6.5500000000000003E-2</v>
      </c>
      <c r="P23" s="38">
        <v>0.1</v>
      </c>
      <c r="Q23" s="39">
        <f t="shared" si="2"/>
        <v>3</v>
      </c>
      <c r="R23" s="18"/>
      <c r="S23" s="6"/>
      <c r="T23" s="6"/>
      <c r="U23" s="3"/>
    </row>
    <row r="24" spans="1:21" ht="16.5" thickBot="1" x14ac:dyDescent="0.3">
      <c r="A24" s="5">
        <v>22</v>
      </c>
      <c r="B24" s="181"/>
      <c r="C24" s="33" t="s">
        <v>89</v>
      </c>
      <c r="D24" s="125" t="s">
        <v>90</v>
      </c>
      <c r="E24" s="13" t="s">
        <v>69</v>
      </c>
      <c r="F24" s="71" t="s">
        <v>91</v>
      </c>
      <c r="G24" s="17" t="s">
        <v>143</v>
      </c>
      <c r="H24" s="13" t="s">
        <v>88</v>
      </c>
      <c r="I24" s="15">
        <v>10</v>
      </c>
      <c r="J24" s="16">
        <f t="shared" si="0"/>
        <v>30</v>
      </c>
      <c r="K24" s="16">
        <v>100</v>
      </c>
      <c r="L24" s="16" t="s">
        <v>208</v>
      </c>
      <c r="M24" s="17" t="s">
        <v>144</v>
      </c>
      <c r="N24" s="57">
        <v>2.4880000000000002E-3</v>
      </c>
      <c r="O24" s="38">
        <f t="shared" si="1"/>
        <v>0.24880000000000002</v>
      </c>
      <c r="P24" s="38">
        <v>0.1</v>
      </c>
      <c r="Q24" s="39">
        <f t="shared" si="2"/>
        <v>3</v>
      </c>
      <c r="R24" s="18"/>
      <c r="S24" s="6"/>
      <c r="T24" s="6"/>
      <c r="U24" s="3"/>
    </row>
    <row r="25" spans="1:21" ht="16.5" thickBot="1" x14ac:dyDescent="0.3">
      <c r="A25" s="5">
        <v>23</v>
      </c>
      <c r="B25" s="182"/>
      <c r="C25" s="62" t="s">
        <v>93</v>
      </c>
      <c r="D25" s="127" t="s">
        <v>94</v>
      </c>
      <c r="E25" s="63" t="s">
        <v>69</v>
      </c>
      <c r="F25" s="63" t="s">
        <v>246</v>
      </c>
      <c r="G25" s="64" t="s">
        <v>143</v>
      </c>
      <c r="H25" s="63" t="s">
        <v>92</v>
      </c>
      <c r="I25" s="65">
        <v>4</v>
      </c>
      <c r="J25" s="66">
        <f t="shared" si="0"/>
        <v>12</v>
      </c>
      <c r="K25" s="66">
        <v>100</v>
      </c>
      <c r="L25" s="66" t="s">
        <v>209</v>
      </c>
      <c r="M25" s="141" t="s">
        <v>144</v>
      </c>
      <c r="N25" s="67">
        <v>1.067E-3</v>
      </c>
      <c r="O25" s="68">
        <f t="shared" si="1"/>
        <v>0.1067</v>
      </c>
      <c r="P25" s="68">
        <v>0.1</v>
      </c>
      <c r="Q25" s="69">
        <f t="shared" si="2"/>
        <v>1.2000000000000002</v>
      </c>
      <c r="R25" s="142"/>
      <c r="S25" s="6"/>
      <c r="T25" s="6"/>
      <c r="U25" s="3"/>
    </row>
    <row r="26" spans="1:21" ht="16.5" thickBot="1" x14ac:dyDescent="0.3">
      <c r="A26" s="5">
        <v>24</v>
      </c>
      <c r="B26" s="183" t="s">
        <v>166</v>
      </c>
      <c r="C26" s="32" t="s">
        <v>98</v>
      </c>
      <c r="D26" s="118" t="s">
        <v>99</v>
      </c>
      <c r="E26" s="8" t="s">
        <v>176</v>
      </c>
      <c r="F26" s="70" t="s">
        <v>97</v>
      </c>
      <c r="G26" s="9" t="s">
        <v>154</v>
      </c>
      <c r="H26" s="8" t="s">
        <v>175</v>
      </c>
      <c r="I26" s="10">
        <v>9</v>
      </c>
      <c r="J26" s="11">
        <f t="shared" si="0"/>
        <v>27</v>
      </c>
      <c r="K26" s="11">
        <v>30</v>
      </c>
      <c r="L26" s="11" t="s">
        <v>210</v>
      </c>
      <c r="M26" s="9" t="s">
        <v>144</v>
      </c>
      <c r="N26" s="56">
        <v>0.15273300000000001</v>
      </c>
      <c r="O26" s="36">
        <f t="shared" si="1"/>
        <v>4.5819900000000002</v>
      </c>
      <c r="P26" s="36">
        <v>0.59</v>
      </c>
      <c r="Q26" s="37">
        <f t="shared" si="2"/>
        <v>15.93</v>
      </c>
      <c r="R26" s="12"/>
      <c r="S26" s="6"/>
      <c r="T26" s="6"/>
      <c r="U26" s="3"/>
    </row>
    <row r="27" spans="1:21" ht="30.75" thickBot="1" x14ac:dyDescent="0.3">
      <c r="A27" s="5">
        <v>25</v>
      </c>
      <c r="B27" s="184"/>
      <c r="C27" s="143" t="s">
        <v>101</v>
      </c>
      <c r="D27" s="119" t="s">
        <v>102</v>
      </c>
      <c r="E27" s="13" t="s">
        <v>176</v>
      </c>
      <c r="F27" s="71" t="s">
        <v>100</v>
      </c>
      <c r="G27" s="14" t="s">
        <v>155</v>
      </c>
      <c r="H27" s="13" t="s">
        <v>175</v>
      </c>
      <c r="I27" s="15">
        <v>1</v>
      </c>
      <c r="J27" s="16">
        <f t="shared" si="0"/>
        <v>3</v>
      </c>
      <c r="K27" s="16">
        <v>6</v>
      </c>
      <c r="L27" s="16" t="s">
        <v>211</v>
      </c>
      <c r="M27" s="17" t="s">
        <v>144</v>
      </c>
      <c r="N27" s="57">
        <v>0.38333299999999998</v>
      </c>
      <c r="O27" s="38">
        <f t="shared" si="1"/>
        <v>2.299998</v>
      </c>
      <c r="P27" s="44">
        <v>0.48</v>
      </c>
      <c r="Q27" s="39">
        <f t="shared" si="2"/>
        <v>1.44</v>
      </c>
      <c r="R27" s="18"/>
      <c r="S27" s="6"/>
      <c r="T27" s="6"/>
      <c r="U27" s="3"/>
    </row>
    <row r="28" spans="1:21" ht="16.5" thickBot="1" x14ac:dyDescent="0.3">
      <c r="A28" s="5">
        <v>26</v>
      </c>
      <c r="B28" s="184"/>
      <c r="C28" s="33" t="s">
        <v>104</v>
      </c>
      <c r="D28" s="119" t="s">
        <v>105</v>
      </c>
      <c r="E28" s="13" t="s">
        <v>176</v>
      </c>
      <c r="F28" s="71" t="s">
        <v>103</v>
      </c>
      <c r="G28" s="17" t="s">
        <v>154</v>
      </c>
      <c r="H28" s="13" t="s">
        <v>175</v>
      </c>
      <c r="I28" s="15">
        <v>1</v>
      </c>
      <c r="J28" s="16">
        <f t="shared" si="0"/>
        <v>3</v>
      </c>
      <c r="K28" s="16">
        <v>6</v>
      </c>
      <c r="L28" s="16" t="s">
        <v>212</v>
      </c>
      <c r="M28" s="17" t="s">
        <v>144</v>
      </c>
      <c r="N28" s="57">
        <v>0.32</v>
      </c>
      <c r="O28" s="38">
        <f t="shared" si="1"/>
        <v>1.92</v>
      </c>
      <c r="P28" s="38">
        <v>0.92</v>
      </c>
      <c r="Q28" s="39">
        <f t="shared" si="2"/>
        <v>2.7600000000000002</v>
      </c>
      <c r="R28" s="18"/>
      <c r="S28" s="6"/>
      <c r="T28" s="6"/>
      <c r="U28" s="3"/>
    </row>
    <row r="29" spans="1:21" ht="16.5" thickBot="1" x14ac:dyDescent="0.3">
      <c r="A29" s="5">
        <v>27</v>
      </c>
      <c r="B29" s="184"/>
      <c r="C29" s="84" t="s">
        <v>50</v>
      </c>
      <c r="D29" s="74" t="s">
        <v>181</v>
      </c>
      <c r="E29" s="85" t="s">
        <v>176</v>
      </c>
      <c r="F29" s="74" t="s">
        <v>181</v>
      </c>
      <c r="G29" s="86" t="s">
        <v>226</v>
      </c>
      <c r="H29" s="13" t="s">
        <v>175</v>
      </c>
      <c r="I29" s="87">
        <v>10</v>
      </c>
      <c r="J29" s="88">
        <f>I29*3+15</f>
        <v>45</v>
      </c>
      <c r="K29" s="74" t="s">
        <v>181</v>
      </c>
      <c r="L29" s="74" t="s">
        <v>181</v>
      </c>
      <c r="M29" s="93" t="s">
        <v>227</v>
      </c>
      <c r="N29" s="89">
        <v>0.75</v>
      </c>
      <c r="O29" s="90">
        <f>N29*J29</f>
        <v>33.75</v>
      </c>
      <c r="P29" s="90">
        <v>0.75</v>
      </c>
      <c r="Q29" s="91">
        <f t="shared" si="2"/>
        <v>33.75</v>
      </c>
      <c r="R29" s="92"/>
      <c r="S29" s="6"/>
      <c r="T29" s="6"/>
      <c r="U29" s="3"/>
    </row>
    <row r="30" spans="1:21" ht="16.5" thickBot="1" x14ac:dyDescent="0.3">
      <c r="A30" s="5">
        <v>28</v>
      </c>
      <c r="B30" s="185"/>
      <c r="C30" s="35" t="s">
        <v>108</v>
      </c>
      <c r="D30" s="123" t="s">
        <v>109</v>
      </c>
      <c r="E30" s="26" t="s">
        <v>176</v>
      </c>
      <c r="F30" s="26" t="s">
        <v>107</v>
      </c>
      <c r="G30" s="28" t="s">
        <v>153</v>
      </c>
      <c r="H30" s="26" t="s">
        <v>175</v>
      </c>
      <c r="I30" s="27">
        <v>2</v>
      </c>
      <c r="J30" s="28">
        <f>I30*3+2</f>
        <v>8</v>
      </c>
      <c r="K30" s="80" t="s">
        <v>181</v>
      </c>
      <c r="L30" s="80" t="s">
        <v>181</v>
      </c>
      <c r="M30" s="79" t="s">
        <v>213</v>
      </c>
      <c r="N30" s="81" t="s">
        <v>181</v>
      </c>
      <c r="O30" s="82" t="s">
        <v>181</v>
      </c>
      <c r="P30" s="42">
        <v>1</v>
      </c>
      <c r="Q30" s="43">
        <f t="shared" si="2"/>
        <v>8</v>
      </c>
      <c r="R30" s="29" t="s">
        <v>214</v>
      </c>
      <c r="S30" s="6"/>
      <c r="T30" s="6"/>
      <c r="U30" s="3"/>
    </row>
    <row r="31" spans="1:21" ht="16.5" thickBot="1" x14ac:dyDescent="0.3">
      <c r="A31" s="5">
        <v>29</v>
      </c>
      <c r="B31" s="107" t="s">
        <v>228</v>
      </c>
      <c r="C31" s="154" t="s">
        <v>229</v>
      </c>
      <c r="D31" s="155" t="s">
        <v>236</v>
      </c>
      <c r="E31" s="156" t="s">
        <v>230</v>
      </c>
      <c r="F31" s="156" t="s">
        <v>231</v>
      </c>
      <c r="G31" s="157" t="s">
        <v>232</v>
      </c>
      <c r="H31" s="156" t="s">
        <v>175</v>
      </c>
      <c r="I31" s="158">
        <v>1</v>
      </c>
      <c r="J31" s="157">
        <f>I31*3</f>
        <v>3</v>
      </c>
      <c r="K31" s="159">
        <v>5</v>
      </c>
      <c r="L31" s="159" t="s">
        <v>233</v>
      </c>
      <c r="M31" s="160" t="s">
        <v>144</v>
      </c>
      <c r="N31" s="161">
        <v>0.57999999999999996</v>
      </c>
      <c r="O31" s="162">
        <f>N31*K31</f>
        <v>2.9</v>
      </c>
      <c r="P31" s="162" t="s">
        <v>181</v>
      </c>
      <c r="Q31" s="162" t="s">
        <v>181</v>
      </c>
      <c r="R31" s="163"/>
      <c r="S31" s="6"/>
      <c r="T31" s="6"/>
      <c r="U31" s="3"/>
    </row>
    <row r="32" spans="1:21" ht="16.5" thickBot="1" x14ac:dyDescent="0.3">
      <c r="A32" s="5">
        <v>30</v>
      </c>
      <c r="B32" s="78" t="s">
        <v>234</v>
      </c>
      <c r="C32" s="97"/>
      <c r="D32" s="126"/>
      <c r="E32" s="98"/>
      <c r="F32" s="98"/>
      <c r="G32" s="99"/>
      <c r="H32" s="98"/>
      <c r="I32" s="100"/>
      <c r="J32" s="99"/>
      <c r="K32" s="101"/>
      <c r="L32" s="101"/>
      <c r="M32" s="102"/>
      <c r="N32" s="103"/>
      <c r="O32" s="104"/>
      <c r="P32" s="106"/>
      <c r="Q32" s="104"/>
      <c r="R32" s="105" t="s">
        <v>235</v>
      </c>
      <c r="S32" s="6"/>
      <c r="T32" s="6"/>
      <c r="U32" s="3"/>
    </row>
    <row r="33" spans="1:21" ht="16.5" thickBot="1" x14ac:dyDescent="0.3">
      <c r="A33" s="5">
        <v>31</v>
      </c>
      <c r="B33" s="183" t="s">
        <v>164</v>
      </c>
      <c r="C33" s="108" t="s">
        <v>48</v>
      </c>
      <c r="D33" s="122" t="s">
        <v>49</v>
      </c>
      <c r="E33" s="70" t="s">
        <v>176</v>
      </c>
      <c r="F33" s="70" t="s">
        <v>248</v>
      </c>
      <c r="G33" s="150" t="s">
        <v>149</v>
      </c>
      <c r="H33" s="70" t="s">
        <v>175</v>
      </c>
      <c r="I33" s="110">
        <v>10</v>
      </c>
      <c r="J33" s="109">
        <f t="shared" si="0"/>
        <v>30</v>
      </c>
      <c r="K33" s="109">
        <v>60</v>
      </c>
      <c r="L33" s="109" t="s">
        <v>215</v>
      </c>
      <c r="M33" s="150" t="s">
        <v>144</v>
      </c>
      <c r="N33" s="151">
        <v>2.3991999999999999E-2</v>
      </c>
      <c r="O33" s="113">
        <f t="shared" si="1"/>
        <v>1.4395199999999999</v>
      </c>
      <c r="P33" s="152">
        <v>0.18</v>
      </c>
      <c r="Q33" s="114">
        <f t="shared" si="2"/>
        <v>5.3999999999999995</v>
      </c>
      <c r="R33" s="153"/>
      <c r="S33" s="6"/>
      <c r="T33" s="6"/>
      <c r="U33" s="3"/>
    </row>
    <row r="34" spans="1:21" ht="16.5" thickBot="1" x14ac:dyDescent="0.3">
      <c r="A34" s="5">
        <v>32</v>
      </c>
      <c r="B34" s="184"/>
      <c r="C34" s="33" t="s">
        <v>52</v>
      </c>
      <c r="D34" s="119" t="s">
        <v>53</v>
      </c>
      <c r="E34" s="13" t="s">
        <v>176</v>
      </c>
      <c r="F34" s="13" t="s">
        <v>51</v>
      </c>
      <c r="G34" s="74" t="s">
        <v>181</v>
      </c>
      <c r="H34" s="13" t="s">
        <v>175</v>
      </c>
      <c r="I34" s="15">
        <v>2</v>
      </c>
      <c r="J34" s="16">
        <f t="shared" si="0"/>
        <v>6</v>
      </c>
      <c r="K34" s="74" t="s">
        <v>181</v>
      </c>
      <c r="L34" s="74" t="s">
        <v>181</v>
      </c>
      <c r="M34" s="74" t="s">
        <v>216</v>
      </c>
      <c r="N34" s="74" t="s">
        <v>181</v>
      </c>
      <c r="O34" s="74" t="s">
        <v>181</v>
      </c>
      <c r="P34" s="75" t="s">
        <v>181</v>
      </c>
      <c r="Q34" s="74" t="s">
        <v>181</v>
      </c>
      <c r="R34" s="83" t="s">
        <v>182</v>
      </c>
      <c r="S34" s="6"/>
      <c r="T34" s="6"/>
      <c r="U34" s="3"/>
    </row>
    <row r="35" spans="1:21" ht="16.5" thickBot="1" x14ac:dyDescent="0.3">
      <c r="A35" s="5">
        <v>33</v>
      </c>
      <c r="B35" s="184"/>
      <c r="C35" s="33" t="s">
        <v>95</v>
      </c>
      <c r="D35" s="119" t="s">
        <v>96</v>
      </c>
      <c r="E35" s="13" t="s">
        <v>176</v>
      </c>
      <c r="F35" s="13" t="s">
        <v>54</v>
      </c>
      <c r="G35" s="74" t="s">
        <v>181</v>
      </c>
      <c r="H35" s="13" t="s">
        <v>175</v>
      </c>
      <c r="I35" s="15">
        <v>6</v>
      </c>
      <c r="J35" s="16">
        <f t="shared" si="0"/>
        <v>18</v>
      </c>
      <c r="K35" s="74" t="s">
        <v>181</v>
      </c>
      <c r="L35" s="74" t="s">
        <v>181</v>
      </c>
      <c r="M35" s="74" t="s">
        <v>216</v>
      </c>
      <c r="N35" s="74" t="s">
        <v>181</v>
      </c>
      <c r="O35" s="74" t="s">
        <v>181</v>
      </c>
      <c r="P35" s="75" t="s">
        <v>181</v>
      </c>
      <c r="Q35" s="74" t="s">
        <v>181</v>
      </c>
      <c r="R35" s="83" t="s">
        <v>183</v>
      </c>
      <c r="S35" s="6"/>
      <c r="T35" s="6"/>
      <c r="U35" s="3"/>
    </row>
    <row r="36" spans="1:21" ht="16.5" thickBot="1" x14ac:dyDescent="0.3">
      <c r="A36" s="5">
        <v>34</v>
      </c>
      <c r="B36" s="184"/>
      <c r="C36" s="33" t="s">
        <v>241</v>
      </c>
      <c r="D36" s="119" t="s">
        <v>242</v>
      </c>
      <c r="E36" s="13" t="s">
        <v>176</v>
      </c>
      <c r="F36" s="13" t="s">
        <v>243</v>
      </c>
      <c r="G36" s="74" t="s">
        <v>181</v>
      </c>
      <c r="H36" s="13" t="s">
        <v>175</v>
      </c>
      <c r="I36" s="15">
        <v>3</v>
      </c>
      <c r="J36" s="16">
        <f t="shared" si="0"/>
        <v>9</v>
      </c>
      <c r="K36" s="74" t="s">
        <v>181</v>
      </c>
      <c r="L36" s="74" t="s">
        <v>181</v>
      </c>
      <c r="M36" s="74" t="s">
        <v>216</v>
      </c>
      <c r="N36" s="74" t="s">
        <v>181</v>
      </c>
      <c r="O36" s="74" t="s">
        <v>181</v>
      </c>
      <c r="P36" s="75" t="s">
        <v>181</v>
      </c>
      <c r="Q36" s="74" t="s">
        <v>181</v>
      </c>
      <c r="R36" s="83" t="s">
        <v>183</v>
      </c>
      <c r="S36" s="6"/>
      <c r="T36" s="6"/>
      <c r="U36" s="3"/>
    </row>
    <row r="37" spans="1:21" s="51" customFormat="1" ht="30.75" thickBot="1" x14ac:dyDescent="0.3">
      <c r="A37" s="5">
        <v>35</v>
      </c>
      <c r="B37" s="184"/>
      <c r="C37" s="144" t="s">
        <v>106</v>
      </c>
      <c r="D37" s="145" t="s">
        <v>240</v>
      </c>
      <c r="E37" s="71" t="s">
        <v>176</v>
      </c>
      <c r="F37" s="71" t="s">
        <v>247</v>
      </c>
      <c r="G37" s="146" t="s">
        <v>149</v>
      </c>
      <c r="H37" s="71" t="s">
        <v>175</v>
      </c>
      <c r="I37" s="134">
        <v>13</v>
      </c>
      <c r="J37" s="135">
        <f t="shared" si="0"/>
        <v>39</v>
      </c>
      <c r="K37" s="135">
        <v>50</v>
      </c>
      <c r="L37" s="135" t="s">
        <v>217</v>
      </c>
      <c r="M37" s="133" t="s">
        <v>144</v>
      </c>
      <c r="N37" s="147">
        <v>1.4995E-2</v>
      </c>
      <c r="O37" s="138">
        <f t="shared" si="1"/>
        <v>0.74975000000000003</v>
      </c>
      <c r="P37" s="148">
        <v>0.13</v>
      </c>
      <c r="Q37" s="139">
        <f t="shared" si="2"/>
        <v>5.07</v>
      </c>
      <c r="R37" s="149"/>
      <c r="S37" s="53"/>
      <c r="T37" s="53"/>
      <c r="U37" s="54"/>
    </row>
    <row r="38" spans="1:21" ht="16.5" thickBot="1" x14ac:dyDescent="0.3">
      <c r="A38" s="5">
        <v>36</v>
      </c>
      <c r="B38" s="184"/>
      <c r="C38" s="33" t="s">
        <v>121</v>
      </c>
      <c r="D38" s="119" t="s">
        <v>122</v>
      </c>
      <c r="E38" s="13" t="s">
        <v>176</v>
      </c>
      <c r="F38" s="71" t="s">
        <v>120</v>
      </c>
      <c r="G38" s="14" t="s">
        <v>158</v>
      </c>
      <c r="H38" s="13" t="s">
        <v>175</v>
      </c>
      <c r="I38" s="15">
        <v>1</v>
      </c>
      <c r="J38" s="16">
        <f t="shared" si="0"/>
        <v>3</v>
      </c>
      <c r="K38" s="16">
        <v>5</v>
      </c>
      <c r="L38" s="16" t="s">
        <v>218</v>
      </c>
      <c r="M38" s="17" t="s">
        <v>144</v>
      </c>
      <c r="N38" s="57">
        <v>0.34499999999999997</v>
      </c>
      <c r="O38" s="38">
        <f t="shared" si="1"/>
        <v>1.7249999999999999</v>
      </c>
      <c r="P38" s="45">
        <v>0.45</v>
      </c>
      <c r="Q38" s="39">
        <f t="shared" si="2"/>
        <v>1.35</v>
      </c>
      <c r="R38" s="30"/>
      <c r="S38" s="6"/>
      <c r="T38" s="6"/>
      <c r="U38" s="3"/>
    </row>
    <row r="39" spans="1:21" ht="16.5" thickBot="1" x14ac:dyDescent="0.3">
      <c r="A39" s="5">
        <v>37</v>
      </c>
      <c r="B39" s="185"/>
      <c r="C39" s="34" t="s">
        <v>124</v>
      </c>
      <c r="D39" s="121" t="s">
        <v>125</v>
      </c>
      <c r="E39" s="19" t="s">
        <v>176</v>
      </c>
      <c r="F39" s="63" t="s">
        <v>123</v>
      </c>
      <c r="G39" s="25" t="s">
        <v>159</v>
      </c>
      <c r="H39" s="19" t="s">
        <v>175</v>
      </c>
      <c r="I39" s="21">
        <v>1</v>
      </c>
      <c r="J39" s="22">
        <f t="shared" si="0"/>
        <v>3</v>
      </c>
      <c r="K39" s="22">
        <v>5</v>
      </c>
      <c r="L39" s="22" t="s">
        <v>219</v>
      </c>
      <c r="M39" s="20" t="s">
        <v>144</v>
      </c>
      <c r="N39" s="60">
        <v>0.34499999999999997</v>
      </c>
      <c r="O39" s="40">
        <f t="shared" si="1"/>
        <v>1.7249999999999999</v>
      </c>
      <c r="P39" s="46">
        <v>1.49</v>
      </c>
      <c r="Q39" s="41">
        <f t="shared" si="2"/>
        <v>4.47</v>
      </c>
      <c r="R39" s="31"/>
      <c r="S39" s="6"/>
      <c r="T39" s="6"/>
      <c r="U39" s="3"/>
    </row>
    <row r="40" spans="1:21" ht="30.75" thickBot="1" x14ac:dyDescent="0.3">
      <c r="A40" s="5">
        <v>38</v>
      </c>
      <c r="B40" s="177" t="s">
        <v>165</v>
      </c>
      <c r="C40" s="164" t="s">
        <v>250</v>
      </c>
      <c r="D40" s="122" t="s">
        <v>110</v>
      </c>
      <c r="E40" s="70" t="s">
        <v>177</v>
      </c>
      <c r="F40" s="70" t="s">
        <v>249</v>
      </c>
      <c r="G40" s="25" t="s">
        <v>220</v>
      </c>
      <c r="H40" s="70" t="s">
        <v>175</v>
      </c>
      <c r="I40" s="110">
        <v>1</v>
      </c>
      <c r="J40" s="109">
        <f t="shared" si="0"/>
        <v>3</v>
      </c>
      <c r="K40" s="109">
        <v>5</v>
      </c>
      <c r="L40" s="109" t="s">
        <v>221</v>
      </c>
      <c r="M40" s="111" t="s">
        <v>144</v>
      </c>
      <c r="N40" s="116">
        <v>2.35</v>
      </c>
      <c r="O40" s="113">
        <f t="shared" si="1"/>
        <v>11.75</v>
      </c>
      <c r="P40" s="114"/>
      <c r="Q40" s="114">
        <f t="shared" si="2"/>
        <v>0</v>
      </c>
      <c r="R40" s="117"/>
      <c r="S40" s="6"/>
      <c r="T40" s="6"/>
      <c r="U40" s="3"/>
    </row>
    <row r="41" spans="1:21" ht="16.5" thickBot="1" x14ac:dyDescent="0.3">
      <c r="A41" s="5">
        <v>39</v>
      </c>
      <c r="B41" s="178"/>
      <c r="C41" s="33" t="s">
        <v>112</v>
      </c>
      <c r="D41" s="119" t="s">
        <v>113</v>
      </c>
      <c r="E41" s="13" t="s">
        <v>178</v>
      </c>
      <c r="F41" s="71" t="s">
        <v>111</v>
      </c>
      <c r="G41" s="14" t="s">
        <v>151</v>
      </c>
      <c r="H41" s="13" t="s">
        <v>175</v>
      </c>
      <c r="I41" s="15">
        <v>1</v>
      </c>
      <c r="J41" s="16">
        <f t="shared" si="0"/>
        <v>3</v>
      </c>
      <c r="K41" s="16">
        <v>5</v>
      </c>
      <c r="L41" s="16" t="s">
        <v>222</v>
      </c>
      <c r="M41" s="17" t="s">
        <v>144</v>
      </c>
      <c r="N41" s="57">
        <v>1.01</v>
      </c>
      <c r="O41" s="38">
        <f t="shared" si="1"/>
        <v>5.05</v>
      </c>
      <c r="P41" s="38">
        <v>1.1200000000000001</v>
      </c>
      <c r="Q41" s="39">
        <f t="shared" si="2"/>
        <v>3.3600000000000003</v>
      </c>
      <c r="R41" s="18"/>
      <c r="S41" s="6"/>
      <c r="T41" s="6"/>
      <c r="U41" s="3"/>
    </row>
    <row r="42" spans="1:21" ht="16.5" thickBot="1" x14ac:dyDescent="0.3">
      <c r="A42" s="5">
        <v>40</v>
      </c>
      <c r="B42" s="178"/>
      <c r="C42" s="33" t="s">
        <v>115</v>
      </c>
      <c r="D42" s="119" t="s">
        <v>116</v>
      </c>
      <c r="E42" s="13" t="s">
        <v>179</v>
      </c>
      <c r="F42" s="71" t="s">
        <v>114</v>
      </c>
      <c r="G42" s="14" t="s">
        <v>156</v>
      </c>
      <c r="H42" s="13" t="s">
        <v>175</v>
      </c>
      <c r="I42" s="15">
        <v>1</v>
      </c>
      <c r="J42" s="16">
        <f t="shared" si="0"/>
        <v>3</v>
      </c>
      <c r="K42" s="16">
        <v>5</v>
      </c>
      <c r="L42" s="16" t="s">
        <v>223</v>
      </c>
      <c r="M42" s="17" t="s">
        <v>144</v>
      </c>
      <c r="N42" s="57">
        <v>0.58333299999999999</v>
      </c>
      <c r="O42" s="38">
        <f t="shared" si="1"/>
        <v>2.9166650000000001</v>
      </c>
      <c r="P42" s="38">
        <v>1.19</v>
      </c>
      <c r="Q42" s="39">
        <f t="shared" si="2"/>
        <v>3.57</v>
      </c>
      <c r="R42" s="18"/>
      <c r="S42" s="6"/>
      <c r="T42" s="6"/>
      <c r="U42" s="3"/>
    </row>
    <row r="43" spans="1:21" ht="16.5" thickBot="1" x14ac:dyDescent="0.3">
      <c r="A43" s="5">
        <v>41</v>
      </c>
      <c r="B43" s="178"/>
      <c r="C43" s="33" t="s">
        <v>118</v>
      </c>
      <c r="D43" s="119" t="s">
        <v>119</v>
      </c>
      <c r="E43" s="13" t="s">
        <v>180</v>
      </c>
      <c r="F43" s="71" t="s">
        <v>117</v>
      </c>
      <c r="G43" s="14" t="s">
        <v>157</v>
      </c>
      <c r="H43" s="13" t="s">
        <v>175</v>
      </c>
      <c r="I43" s="15">
        <v>1</v>
      </c>
      <c r="J43" s="16">
        <f t="shared" si="0"/>
        <v>3</v>
      </c>
      <c r="K43" s="16">
        <v>5</v>
      </c>
      <c r="L43" s="16" t="s">
        <v>224</v>
      </c>
      <c r="M43" s="17" t="s">
        <v>144</v>
      </c>
      <c r="N43" s="57">
        <v>0.22040000000000001</v>
      </c>
      <c r="O43" s="38">
        <f t="shared" si="1"/>
        <v>1.1020000000000001</v>
      </c>
      <c r="P43" s="38">
        <v>0.56000000000000005</v>
      </c>
      <c r="Q43" s="39">
        <f t="shared" si="2"/>
        <v>1.6800000000000002</v>
      </c>
      <c r="R43" s="18"/>
      <c r="S43" s="6"/>
      <c r="T43" s="6"/>
      <c r="U43" s="3"/>
    </row>
    <row r="44" spans="1:21" ht="16.5" thickBot="1" x14ac:dyDescent="0.3">
      <c r="A44" s="5">
        <v>42</v>
      </c>
      <c r="B44" s="179"/>
      <c r="C44" s="62" t="s">
        <v>126</v>
      </c>
      <c r="D44" s="127" t="s">
        <v>127</v>
      </c>
      <c r="E44" s="63" t="s">
        <v>176</v>
      </c>
      <c r="F44" s="63" t="s">
        <v>128</v>
      </c>
      <c r="G44" s="64" t="s">
        <v>160</v>
      </c>
      <c r="H44" s="63" t="s">
        <v>175</v>
      </c>
      <c r="I44" s="65">
        <v>1</v>
      </c>
      <c r="J44" s="66">
        <f t="shared" si="0"/>
        <v>3</v>
      </c>
      <c r="K44" s="66">
        <v>5</v>
      </c>
      <c r="L44" s="66" t="s">
        <v>225</v>
      </c>
      <c r="M44" s="94" t="s">
        <v>144</v>
      </c>
      <c r="N44" s="67">
        <v>0.38666699999999998</v>
      </c>
      <c r="O44" s="68">
        <f t="shared" si="1"/>
        <v>1.933335</v>
      </c>
      <c r="P44" s="95">
        <v>0.39</v>
      </c>
      <c r="Q44" s="69">
        <f t="shared" si="2"/>
        <v>1.17</v>
      </c>
      <c r="R44" s="96"/>
      <c r="S44" s="6"/>
      <c r="T44" s="6"/>
      <c r="U44" s="3"/>
    </row>
    <row r="45" spans="1:21" ht="15.75" thickBot="1" x14ac:dyDescent="0.3">
      <c r="I45" s="171" t="s">
        <v>171</v>
      </c>
      <c r="J45" s="172"/>
      <c r="K45" s="172"/>
      <c r="L45" s="172"/>
      <c r="M45" s="172"/>
      <c r="N45" s="173"/>
      <c r="O45" s="48">
        <f>SUM(O3:O44)+(Q30)</f>
        <v>93.091368000000003</v>
      </c>
      <c r="U45" s="3"/>
    </row>
    <row r="46" spans="1:21" ht="19.5" thickBot="1" x14ac:dyDescent="0.35">
      <c r="C46" s="47" t="s">
        <v>168</v>
      </c>
      <c r="I46" s="174" t="s">
        <v>172</v>
      </c>
      <c r="J46" s="175"/>
      <c r="K46" s="175"/>
      <c r="L46" s="175"/>
      <c r="M46" s="175"/>
      <c r="N46" s="176"/>
      <c r="O46" s="49"/>
      <c r="S46" s="3"/>
      <c r="T46" s="3"/>
      <c r="U46" s="3"/>
    </row>
    <row r="47" spans="1:21" ht="15.75" thickBot="1" x14ac:dyDescent="0.3">
      <c r="C47" s="165" t="s">
        <v>170</v>
      </c>
      <c r="D47" s="166"/>
      <c r="E47" s="167"/>
      <c r="I47" s="174" t="s">
        <v>173</v>
      </c>
      <c r="J47" s="175"/>
      <c r="K47" s="175"/>
      <c r="L47" s="175"/>
      <c r="M47" s="175"/>
      <c r="N47" s="176"/>
      <c r="O47" s="49"/>
      <c r="S47" s="3"/>
      <c r="T47" s="3"/>
      <c r="U47" s="3"/>
    </row>
    <row r="48" spans="1:21" ht="15.75" thickBot="1" x14ac:dyDescent="0.3">
      <c r="C48" s="168" t="s">
        <v>169</v>
      </c>
      <c r="D48" s="169"/>
      <c r="E48" s="170"/>
      <c r="I48" s="174" t="s">
        <v>174</v>
      </c>
      <c r="J48" s="175"/>
      <c r="K48" s="175"/>
      <c r="L48" s="175"/>
      <c r="M48" s="175"/>
      <c r="N48" s="176"/>
      <c r="O48" s="49"/>
    </row>
  </sheetData>
  <mergeCells count="14">
    <mergeCell ref="B40:B44"/>
    <mergeCell ref="B17:B25"/>
    <mergeCell ref="B26:B30"/>
    <mergeCell ref="A1:R1"/>
    <mergeCell ref="B3:B11"/>
    <mergeCell ref="B12:B13"/>
    <mergeCell ref="B14:B16"/>
    <mergeCell ref="B33:B39"/>
    <mergeCell ref="C47:E47"/>
    <mergeCell ref="C48:E48"/>
    <mergeCell ref="I45:N45"/>
    <mergeCell ref="I46:N46"/>
    <mergeCell ref="I47:N47"/>
    <mergeCell ref="I48:N48"/>
  </mergeCells>
  <hyperlinks>
    <hyperlink ref="G3" r:id="rId1" display="https://lcsc.com/brand-detail/396.html"/>
    <hyperlink ref="M3" r:id="rId2"/>
    <hyperlink ref="G4" r:id="rId3" display="https://lcsc.com/brand-detail/396.html"/>
    <hyperlink ref="M4" r:id="rId4"/>
    <hyperlink ref="G5" r:id="rId5" display="https://lcsc.com/brand-detail/392.html"/>
    <hyperlink ref="M5" r:id="rId6"/>
    <hyperlink ref="G6" r:id="rId7" display="https://lcsc.com/brand-detail/396.html"/>
    <hyperlink ref="M6" r:id="rId8"/>
    <hyperlink ref="G7" r:id="rId9" display="https://lcsc.com/brand-detail/79.html"/>
    <hyperlink ref="M7" r:id="rId10"/>
    <hyperlink ref="G8" r:id="rId11" display="https://lcsc.com/brand-detail/254.html"/>
    <hyperlink ref="M8" r:id="rId12"/>
    <hyperlink ref="G9" r:id="rId13" display="https://lcsc.com/brand-detail/79.html"/>
    <hyperlink ref="M9" r:id="rId14"/>
    <hyperlink ref="G10" r:id="rId15" display="https://lcsc.com/brand-detail/254.html"/>
    <hyperlink ref="M10" r:id="rId16"/>
    <hyperlink ref="G11" r:id="rId17" display="https://lcsc.com/brand-detail/79.html"/>
    <hyperlink ref="M11" r:id="rId18"/>
    <hyperlink ref="G12" r:id="rId19" display="https://lcsc.com/brand-detail/296.html"/>
    <hyperlink ref="M12" r:id="rId20"/>
    <hyperlink ref="G13" r:id="rId21" display="https://lcsc.com/brand-detail/94.html"/>
    <hyperlink ref="M13" r:id="rId22"/>
    <hyperlink ref="G15" r:id="rId23" display="https://lcsc.com/brand-detail/68.html"/>
    <hyperlink ref="M15" r:id="rId24"/>
    <hyperlink ref="M16" r:id="rId25"/>
    <hyperlink ref="G16" r:id="rId26" display="https://lcsc.com/brand-detail/68.html"/>
    <hyperlink ref="G33" r:id="rId27" display="https://www.digikey.com/en/supplier-centers/wurth-electronics"/>
    <hyperlink ref="M33" r:id="rId28"/>
    <hyperlink ref="M37" r:id="rId29"/>
    <hyperlink ref="G37" r:id="rId30" display="https://lcsc.com/brand-detail/1262.html"/>
    <hyperlink ref="G38" r:id="rId31" display="https://lcsc.com/brand-detail/815.html"/>
    <hyperlink ref="M38" r:id="rId32"/>
    <hyperlink ref="G39" r:id="rId33" display="https://lcsc.com/brand-detail/109.html"/>
    <hyperlink ref="M39" r:id="rId34"/>
    <hyperlink ref="G17" r:id="rId35" display="https://lcsc.com/brand-detail/396.html"/>
    <hyperlink ref="M17" r:id="rId36"/>
    <hyperlink ref="G18" r:id="rId37" display="https://lcsc.com/brand-detail/842.html"/>
    <hyperlink ref="M18" r:id="rId38"/>
    <hyperlink ref="M19" r:id="rId39"/>
    <hyperlink ref="G20" r:id="rId40" display="https://lcsc.com/brand-detail/396.html"/>
    <hyperlink ref="M20" r:id="rId41"/>
    <hyperlink ref="G21" r:id="rId42" display="https://lcsc.com/brand-detail/396.html"/>
    <hyperlink ref="M21" r:id="rId43"/>
    <hyperlink ref="G22" r:id="rId44" display="https://lcsc.com/brand-detail/121.html"/>
    <hyperlink ref="M22" r:id="rId45"/>
    <hyperlink ref="G23" r:id="rId46" display="https://lcsc.com/brand-detail/396.html"/>
    <hyperlink ref="M23" r:id="rId47"/>
    <hyperlink ref="G24" r:id="rId48" display="https://lcsc.com/brand-detail/396.html"/>
    <hyperlink ref="M24" r:id="rId49"/>
    <hyperlink ref="G25" r:id="rId50" display="https://lcsc.com/brand-detail/396.html"/>
    <hyperlink ref="G26" r:id="rId51" display="https://lcsc.com/brand-detail/413.html"/>
    <hyperlink ref="M26" r:id="rId52"/>
    <hyperlink ref="G27" r:id="rId53" display="https://lcsc.com/brand-detail/11534.html"/>
    <hyperlink ref="M27" r:id="rId54"/>
    <hyperlink ref="G28" r:id="rId55" display="https://lcsc.com/brand-detail/413.html"/>
    <hyperlink ref="M28" r:id="rId56"/>
    <hyperlink ref="G41" r:id="rId57" display="https://lcsc.com/brand-detail/94.html"/>
    <hyperlink ref="M41" r:id="rId58"/>
    <hyperlink ref="G42" r:id="rId59" display="https://lcsc.com/brand-detail/100.html"/>
    <hyperlink ref="M42" r:id="rId60"/>
    <hyperlink ref="G43" r:id="rId61" display="https://lcsc.com/brand-detail/110.html"/>
    <hyperlink ref="M43" r:id="rId62"/>
    <hyperlink ref="G44" r:id="rId63" display="https://lcsc.com/brand-detail/83.html"/>
    <hyperlink ref="M44" r:id="rId64"/>
    <hyperlink ref="M25" r:id="rId65"/>
    <hyperlink ref="M14" r:id="rId66"/>
    <hyperlink ref="M30" r:id="rId67"/>
    <hyperlink ref="M40" r:id="rId68"/>
    <hyperlink ref="M29" r:id="rId69"/>
    <hyperlink ref="M31" r:id="rId70"/>
  </hyperlinks>
  <pageMargins left="0.7" right="0.7" top="0.75" bottom="0.75" header="0.3" footer="0.3"/>
  <pageSetup orientation="portrait" horizontalDpi="300" verticalDpi="300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CountsFitnessBOM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Windows User</cp:lastModifiedBy>
  <dcterms:created xsi:type="dcterms:W3CDTF">2020-09-28T14:22:37Z</dcterms:created>
  <dcterms:modified xsi:type="dcterms:W3CDTF">2020-10-20T12:33:16Z</dcterms:modified>
</cp:coreProperties>
</file>