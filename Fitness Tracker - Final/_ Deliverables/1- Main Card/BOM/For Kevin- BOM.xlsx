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park Group\Desktop\Final Core Files\Fitness Tracker - Final\_ Deliverables\1- Main Card\BOM\"/>
    </mc:Choice>
  </mc:AlternateContent>
  <bookViews>
    <workbookView xWindow="0" yWindow="0" windowWidth="21570" windowHeight="8055"/>
  </bookViews>
  <sheets>
    <sheet name="CountsFitnessBOM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<sst xmlns="http://schemas.openxmlformats.org/spreadsheetml/2006/main" count="226" uniqueCount="171">
  <si>
    <t>Description</t>
  </si>
  <si>
    <t>Designator</t>
  </si>
  <si>
    <t>10nF</t>
  </si>
  <si>
    <t>CAP CER 10000PF 25V X7R 0402</t>
  </si>
  <si>
    <t>C1, C17</t>
  </si>
  <si>
    <t>Cap0402</t>
  </si>
  <si>
    <t>CC0402KRX7R8BB103</t>
  </si>
  <si>
    <t>0.1uF</t>
  </si>
  <si>
    <t>CAP CER 0.1UF 50V Y5V 0603</t>
  </si>
  <si>
    <t>C2, C4</t>
  </si>
  <si>
    <t>Cap0603</t>
  </si>
  <si>
    <t>CC0603ZRY5V9BB104</t>
  </si>
  <si>
    <t>1uF</t>
  </si>
  <si>
    <t>CAP CER 1UF 50V X7R 0603</t>
  </si>
  <si>
    <t>C3, C6, C8</t>
  </si>
  <si>
    <t>UMK107AB7105KA-T</t>
  </si>
  <si>
    <t>CAP CER 0.1UF 16V X7R 0402</t>
  </si>
  <si>
    <t>C5, C7, C11, C12, C13, C14, C18, C20, C22, C100, C101, C102, C103, C104, C105, C106, C107, C108, C109, C110, C111, C112, C113, C114, C115, C116, C117, C118, C119, C120</t>
  </si>
  <si>
    <t>CC0402KRX7R7BB104</t>
  </si>
  <si>
    <t>20pF</t>
  </si>
  <si>
    <t>CAP CER 20PF 25V C0H 0201</t>
  </si>
  <si>
    <t>C9, C10</t>
  </si>
  <si>
    <t>Cap 0201</t>
  </si>
  <si>
    <t>GJM0336C1E200JB01D</t>
  </si>
  <si>
    <t>4.7uF</t>
  </si>
  <si>
    <t>CAP CER 4.7UF 25V X5R 0603</t>
  </si>
  <si>
    <t>C15</t>
  </si>
  <si>
    <t>CL10A475KA8NQNC</t>
  </si>
  <si>
    <t>CAP CER 1UF 25V X5R 0402</t>
  </si>
  <si>
    <t>C16</t>
  </si>
  <si>
    <t>GRM155R61E105KA12D</t>
  </si>
  <si>
    <t>10uF</t>
  </si>
  <si>
    <t>CAP CER 10UF 10V X5R 0402</t>
  </si>
  <si>
    <t>C19, C21</t>
  </si>
  <si>
    <t>CL05A106MP8NUB8</t>
  </si>
  <si>
    <t>47pF</t>
  </si>
  <si>
    <t>CAP CER 47PF 50V C0G/NP0 0402</t>
  </si>
  <si>
    <t>C23, C24, CF1, CF2</t>
  </si>
  <si>
    <t>GCM1555C1H470JA16D</t>
  </si>
  <si>
    <t>DIODE SCHOTTKY 20V 1A SOD123FL</t>
  </si>
  <si>
    <t>D1</t>
  </si>
  <si>
    <t>LTST-C191KGKT</t>
  </si>
  <si>
    <t>LED GREEN CLEAR SMD 0603</t>
  </si>
  <si>
    <t>LED1</t>
  </si>
  <si>
    <t>LED 0603</t>
  </si>
  <si>
    <t>LED BLUE CLEAR CHIP SMD</t>
  </si>
  <si>
    <t>LED2, LED3</t>
  </si>
  <si>
    <t>CONN HEADER VERT 4POS 2.54MM</t>
  </si>
  <si>
    <t>P1, P2, P3, P4, P5, P6, P7, P8, P9, P10</t>
  </si>
  <si>
    <t>12MM Button</t>
  </si>
  <si>
    <t>SMD PAD</t>
  </si>
  <si>
    <t>Wire connecting Pads</t>
  </si>
  <si>
    <t>P15, P16</t>
  </si>
  <si>
    <t>Solder Bridge</t>
  </si>
  <si>
    <t>DMP2045U-7</t>
  </si>
  <si>
    <t>MOSFET P-CHAN 24V SOT23</t>
  </si>
  <si>
    <t>Q1</t>
  </si>
  <si>
    <t>SOT23-3</t>
  </si>
  <si>
    <t>MMBT918LT1G</t>
  </si>
  <si>
    <t>NPN 50mA 15V 225mW SOT-23(SOT-23-3) Transistors (NPN/PNP) RoHS</t>
  </si>
  <si>
    <t>100K</t>
  </si>
  <si>
    <t>RES SMD 100K OHM 0.1% 1/10W 0603</t>
  </si>
  <si>
    <t>R1</t>
  </si>
  <si>
    <t>Res0603</t>
  </si>
  <si>
    <t>RT0603BRD07100KL</t>
  </si>
  <si>
    <t>10K</t>
  </si>
  <si>
    <t>RES 10K OHM 5% 1/10W 0402</t>
  </si>
  <si>
    <t>R2, R4, R11, R13, R15, R17, R19, R21, R23, R25, R27, R29, R53, R54, R55, R56, R57, R58, R59, R60, R61, R62, R63</t>
  </si>
  <si>
    <t>Res0402</t>
  </si>
  <si>
    <t>RK73B1ETTP103J</t>
  </si>
  <si>
    <t>665R</t>
  </si>
  <si>
    <t>RES SMD 665 OHM 1% 1/10W 0603</t>
  </si>
  <si>
    <t>R3</t>
  </si>
  <si>
    <t>330R</t>
  </si>
  <si>
    <t>RES SMD 330 OHM 1% 1/10W 0603</t>
  </si>
  <si>
    <t>RC0603FR-07330RL</t>
  </si>
  <si>
    <t>20K</t>
  </si>
  <si>
    <t>RES SMD 20K OHM 1% 1/16W 0402</t>
  </si>
  <si>
    <t>R7, R8, R9</t>
  </si>
  <si>
    <t>RC0402JR-0720KL</t>
  </si>
  <si>
    <t>1K</t>
  </si>
  <si>
    <t>RES SMD 1K OHM 5% 1/10W 0402</t>
  </si>
  <si>
    <t>ERJ-2GEJ102X</t>
  </si>
  <si>
    <t>4.7K</t>
  </si>
  <si>
    <t>RES SMD 4.7K OHM 1% 1/16W 0402</t>
  </si>
  <si>
    <t>R31, R33, R35, R37, R39, R41, R43, R45, R47, R49</t>
  </si>
  <si>
    <t>RC0402FR-074K7L</t>
  </si>
  <si>
    <t>47K</t>
  </si>
  <si>
    <t>RES SMD 47K OHM 1% 1/16W 0402</t>
  </si>
  <si>
    <t>R32, R34, R36, R38, R40, R42, R44, R46, R48, R50</t>
  </si>
  <si>
    <t>RC0402FR-0747KL</t>
  </si>
  <si>
    <t>27R</t>
  </si>
  <si>
    <t>RES SMD 27 OHM 1% 1/16W 0402</t>
  </si>
  <si>
    <t>R51, R52, RF1, RF2</t>
  </si>
  <si>
    <t>Solder Bridge ON</t>
  </si>
  <si>
    <t>SB2, SB3, SB4, SB5, SB6, SB7</t>
  </si>
  <si>
    <t>B3FS-1012P</t>
  </si>
  <si>
    <t>SWITCH TACTILE SPST-NO 0.05A 24V</t>
  </si>
  <si>
    <t>SW1, SW2, SW3, SW4, SW5, SW6, SW7, SW8, SW9</t>
  </si>
  <si>
    <t>OS102011MA1QN1</t>
  </si>
  <si>
    <t>2 Position SPDT Miniature Slide Switch 100MA 12V Through Hole, Right Angle</t>
  </si>
  <si>
    <t>SWB1</t>
  </si>
  <si>
    <t>B3U-1000P</t>
  </si>
  <si>
    <t>SWITCH TACTILE SPST-NO 0.05A 12V</t>
  </si>
  <si>
    <t>SWR2</t>
  </si>
  <si>
    <t>CONN HEADER VERT 2POS 2.54MM</t>
  </si>
  <si>
    <t>ESE-18R61D</t>
  </si>
  <si>
    <t>SWITCH DETECTOR SPST-NC 10MA 5V</t>
  </si>
  <si>
    <t>SW_10, SW_11</t>
  </si>
  <si>
    <t>U1</t>
  </si>
  <si>
    <t>NCP3335ADM330R2G</t>
  </si>
  <si>
    <t>IC REG LINEAR 3.3V 500MA MICRO8</t>
  </si>
  <si>
    <t>U2</t>
  </si>
  <si>
    <t>BQ21040DBVR</t>
  </si>
  <si>
    <t>IC BAT CHG LI-ION 1 CELL SOT23-6</t>
  </si>
  <si>
    <t>U3</t>
  </si>
  <si>
    <t>SP3014-02UTG</t>
  </si>
  <si>
    <t>TVS DIODE 5V 6.8V 6UDFN</t>
  </si>
  <si>
    <t>U4</t>
  </si>
  <si>
    <t>10118192-0001LF</t>
  </si>
  <si>
    <t>CONN USB MICRO B RECPT SMT R/A</t>
  </si>
  <si>
    <t>USB1</t>
  </si>
  <si>
    <t>292303-1</t>
  </si>
  <si>
    <t>USB-A (USB TYPE-A) USB 2.0 Receptacle Connector 4 Position Through Hole, Right Angle</t>
  </si>
  <si>
    <t>USB2</t>
  </si>
  <si>
    <t>CRYSTAL 8.0000MHZ 18PF SMD</t>
  </si>
  <si>
    <t>XTAL1</t>
  </si>
  <si>
    <t>7B08070001</t>
  </si>
  <si>
    <t>S. No.</t>
  </si>
  <si>
    <t>CommentType</t>
  </si>
  <si>
    <t>Footprint (Package)</t>
  </si>
  <si>
    <t>Manufacturer Part Number</t>
  </si>
  <si>
    <t>Value</t>
  </si>
  <si>
    <t>Total Quantity</t>
  </si>
  <si>
    <t>Transistor</t>
  </si>
  <si>
    <t>Diode</t>
  </si>
  <si>
    <t>Resistor</t>
  </si>
  <si>
    <t>Connector</t>
  </si>
  <si>
    <t>IC</t>
  </si>
  <si>
    <t>Switch</t>
  </si>
  <si>
    <t>Bill Of Material (BOM) for RUHTAB SAHOTA</t>
  </si>
  <si>
    <t>---</t>
  </si>
  <si>
    <t>Custom</t>
  </si>
  <si>
    <t>48LQFP</t>
  </si>
  <si>
    <t>MICRO8</t>
  </si>
  <si>
    <t>SOT23-6</t>
  </si>
  <si>
    <t>6UDFN</t>
  </si>
  <si>
    <t>--------------</t>
  </si>
  <si>
    <t>SOD-123F</t>
  </si>
  <si>
    <t>MBR120VLSFT1G</t>
  </si>
  <si>
    <t>Buzzer</t>
  </si>
  <si>
    <t>Piezo Buzzer NO 80dB @ 3V</t>
  </si>
  <si>
    <t>12*12*3mm SMD</t>
  </si>
  <si>
    <t>KLJ-1230</t>
  </si>
  <si>
    <t>Battery</t>
  </si>
  <si>
    <t>LS1</t>
  </si>
  <si>
    <t>Q2, Q3, Q4, Q5, Q6, Q7, Q8, Q9, Q10, Q11, Qx</t>
  </si>
  <si>
    <t>R5, R6, R12, R14, R16, R18, R20, R22, R24, R26, R28, R30, Rv</t>
  </si>
  <si>
    <t>R10, Rb</t>
  </si>
  <si>
    <t>SB_2, SB_3, SB_4, SB_5, SW_1, SW_2, SW_3, SW_4, SW_5, SW_6, SW_7, SW_8, SW_9</t>
  </si>
  <si>
    <t>Test Point ON</t>
  </si>
  <si>
    <t>P11, P12, P13</t>
  </si>
  <si>
    <t>TEST POINT</t>
  </si>
  <si>
    <t xml:space="preserve">LTST-C193TBKT-5A
</t>
  </si>
  <si>
    <t>0603WAF6650T5E</t>
  </si>
  <si>
    <t>RC0402FR-0727RL</t>
  </si>
  <si>
    <t xml:space="preserve">C124375
</t>
  </si>
  <si>
    <t xml:space="preserve">C124378
</t>
  </si>
  <si>
    <t xml:space="preserve">STM32F070CBT6
</t>
  </si>
  <si>
    <t>32-Bit FLASH ARM® Cortex®-M0 48MHz 2.4V ~ 3.6V LQFP-48_7x7x05P ST Microelectronics RoHS</t>
  </si>
  <si>
    <t>Required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</si>
</sst>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/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2" fillId="2" borderId="17" xfId="0" applyFont="1" applyFill="1" applyBorder="1" applyAlignment="1">
      <alignment horizontal="center" vertical="center"/>
    </xf>
    <xf numFmtId="0" fontId="0" fillId="0" borderId="0" xfId="0" applyFont="1" applyBorder="1"/>
    <xf numFmtId="0" fontId="0" fillId="0" borderId="0" xfId="0" applyFont="1" applyFill="1" applyBorder="1"/>
    <xf numFmtId="0" fontId="3" fillId="0" borderId="14" xfId="0" quotePrefix="1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0" xfId="0" quotePrefix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3" fillId="3" borderId="10" xfId="0" quotePrefix="1" applyFont="1" applyFill="1" applyBorder="1" applyAlignment="1">
      <alignment horizontal="center" vertical="center"/>
    </xf>
    <xf numFmtId="0" fontId="3" fillId="0" borderId="15" xfId="0" quotePrefix="1" applyFont="1" applyBorder="1" applyAlignment="1">
      <alignment horizontal="left" vertical="top"/>
    </xf>
    <xf numFmtId="0" fontId="3" fillId="0" borderId="16" xfId="0" quotePrefix="1" applyFont="1" applyBorder="1" applyAlignment="1">
      <alignment horizontal="left" vertical="top"/>
    </xf>
    <xf numFmtId="0" fontId="3" fillId="0" borderId="17" xfId="0" quotePrefix="1" applyFont="1" applyBorder="1" applyAlignment="1">
      <alignment horizontal="left" vertical="top"/>
    </xf>
    <xf numFmtId="0" fontId="3" fillId="3" borderId="17" xfId="0" quotePrefix="1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16" xfId="0" quotePrefix="1" applyFont="1" applyBorder="1" applyAlignment="1">
      <alignment horizontal="left" vertical="center"/>
    </xf>
    <xf numFmtId="0" fontId="3" fillId="4" borderId="17" xfId="0" quotePrefix="1" applyFont="1" applyFill="1" applyBorder="1" applyAlignment="1">
      <alignment horizontal="left" vertical="top"/>
    </xf>
    <xf numFmtId="0" fontId="3" fillId="4" borderId="10" xfId="0" quotePrefix="1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3" fillId="4" borderId="14" xfId="0" quotePrefix="1" applyFont="1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0" fillId="0" borderId="1" xfId="0" quotePrefix="1" applyFont="1" applyBorder="1" applyAlignment="1">
      <alignment horizontal="center" vertical="center"/>
    </xf>
    <xf numFmtId="0" fontId="3" fillId="0" borderId="17" xfId="0" quotePrefix="1" applyFont="1" applyBorder="1" applyAlignment="1">
      <alignment horizontal="left" vertical="top" wrapText="1"/>
    </xf>
    <xf numFmtId="0" fontId="5" fillId="0" borderId="7" xfId="0" applyFont="1" applyBorder="1" applyAlignment="1">
      <alignment horizontal="center" vertical="center"/>
    </xf>
    <xf numFmtId="0" fontId="0" fillId="3" borderId="10" xfId="0" quotePrefix="1" applyFont="1" applyFill="1" applyBorder="1" applyAlignment="1">
      <alignment horizontal="center" vertical="center"/>
    </xf>
    <xf numFmtId="0" fontId="3" fillId="0" borderId="21" xfId="0" quotePrefix="1" applyFont="1" applyBorder="1" applyAlignment="1">
      <alignment horizontal="left" vertical="top"/>
    </xf>
    <xf numFmtId="0" fontId="3" fillId="0" borderId="22" xfId="0" quotePrefix="1" applyFont="1" applyBorder="1" applyAlignment="1">
      <alignment horizontal="center" vertical="center"/>
    </xf>
    <xf numFmtId="0" fontId="3" fillId="3" borderId="23" xfId="0" quotePrefix="1" applyFont="1" applyFill="1" applyBorder="1" applyAlignment="1">
      <alignment horizontal="left" vertical="top"/>
    </xf>
    <xf numFmtId="0" fontId="3" fillId="3" borderId="24" xfId="0" quotePrefix="1" applyFont="1" applyFill="1" applyBorder="1" applyAlignment="1">
      <alignment horizontal="center" vertical="center"/>
    </xf>
    <xf numFmtId="0" fontId="0" fillId="3" borderId="24" xfId="0" quotePrefix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4" borderId="15" xfId="0" quotePrefix="1" applyFont="1" applyFill="1" applyBorder="1" applyAlignment="1">
      <alignment horizontal="left" vertical="top"/>
    </xf>
    <xf numFmtId="0" fontId="0" fillId="4" borderId="14" xfId="0" applyFont="1" applyFill="1" applyBorder="1" applyAlignment="1">
      <alignment horizontal="center" vertical="center"/>
    </xf>
    <xf numFmtId="0" fontId="0" fillId="0" borderId="14" xfId="0" quotePrefix="1" applyFont="1" applyBorder="1" applyAlignment="1">
      <alignment horizontal="left" vertical="center"/>
    </xf>
    <xf numFmtId="0" fontId="0" fillId="0" borderId="1" xfId="0" quotePrefix="1" applyFont="1" applyBorder="1" applyAlignment="1">
      <alignment horizontal="left" vertical="center"/>
    </xf>
    <xf numFmtId="0" fontId="0" fillId="0" borderId="1" xfId="0" quotePrefix="1" applyFont="1" applyBorder="1" applyAlignment="1">
      <alignment horizontal="left" wrapText="1"/>
    </xf>
    <xf numFmtId="0" fontId="0" fillId="0" borderId="10" xfId="0" quotePrefix="1" applyFont="1" applyBorder="1" applyAlignment="1">
      <alignment horizontal="left" vertical="center"/>
    </xf>
    <xf numFmtId="0" fontId="0" fillId="4" borderId="14" xfId="0" quotePrefix="1" applyFont="1" applyFill="1" applyBorder="1" applyAlignment="1">
      <alignment horizontal="left" vertical="center"/>
    </xf>
    <xf numFmtId="0" fontId="0" fillId="3" borderId="10" xfId="0" quotePrefix="1" applyFont="1" applyFill="1" applyBorder="1" applyAlignment="1">
      <alignment horizontal="left" vertical="center"/>
    </xf>
    <xf numFmtId="0" fontId="0" fillId="0" borderId="1" xfId="0" quotePrefix="1" applyFont="1" applyBorder="1" applyAlignment="1">
      <alignment vertical="center" wrapText="1"/>
    </xf>
    <xf numFmtId="0" fontId="0" fillId="0" borderId="1" xfId="0" quotePrefix="1" applyFont="1" applyBorder="1" applyAlignment="1">
      <alignment horizontal="left" vertical="center" wrapText="1"/>
    </xf>
    <xf numFmtId="0" fontId="0" fillId="3" borderId="24" xfId="0" quotePrefix="1" applyFont="1" applyFill="1" applyBorder="1" applyAlignment="1">
      <alignment horizontal="left" vertical="center"/>
    </xf>
    <xf numFmtId="0" fontId="0" fillId="4" borderId="10" xfId="0" quotePrefix="1" applyFont="1" applyFill="1" applyBorder="1" applyAlignment="1">
      <alignment horizontal="left" vertical="center"/>
    </xf>
    <xf numFmtId="0" fontId="0" fillId="0" borderId="15" xfId="0" quotePrefix="1" applyFont="1" applyBorder="1" applyAlignment="1">
      <alignment horizontal="left" vertical="top"/>
    </xf>
    <xf numFmtId="0" fontId="0" fillId="0" borderId="16" xfId="0" quotePrefix="1" applyFont="1" applyBorder="1" applyAlignment="1">
      <alignment horizontal="left" vertical="top"/>
    </xf>
    <xf numFmtId="0" fontId="0" fillId="0" borderId="16" xfId="0" quotePrefix="1" applyFont="1" applyBorder="1" applyAlignment="1">
      <alignment horizontal="left" vertical="center"/>
    </xf>
    <xf numFmtId="0" fontId="3" fillId="4" borderId="16" xfId="0" quotePrefix="1" applyFont="1" applyFill="1" applyBorder="1" applyAlignment="1">
      <alignment horizontal="left" vertical="top"/>
    </xf>
    <xf numFmtId="0" fontId="0" fillId="4" borderId="1" xfId="0" quotePrefix="1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center" vertical="center"/>
    </xf>
    <xf numFmtId="0" fontId="3" fillId="0" borderId="16" xfId="0" quotePrefix="1" applyFont="1" applyBorder="1" applyAlignment="1">
      <alignment horizontal="left" vertical="top" wrapText="1"/>
    </xf>
    <xf numFmtId="0" fontId="3" fillId="4" borderId="16" xfId="0" quotePrefix="1" applyFont="1" applyFill="1" applyBorder="1" applyAlignment="1">
      <alignment horizontal="left" vertical="center"/>
    </xf>
    <xf numFmtId="0" fontId="0" fillId="4" borderId="25" xfId="0" quotePrefix="1" applyFont="1" applyFill="1" applyBorder="1" applyAlignment="1">
      <alignment horizontal="left" vertical="center" wrapText="1"/>
    </xf>
    <xf numFmtId="0" fontId="3" fillId="4" borderId="4" xfId="0" quotePrefix="1" applyFont="1" applyFill="1" applyBorder="1" applyAlignment="1">
      <alignment horizontal="left" vertical="top"/>
    </xf>
    <xf numFmtId="0" fontId="0" fillId="4" borderId="18" xfId="0" quotePrefix="1" applyFont="1" applyFill="1" applyBorder="1" applyAlignment="1">
      <alignment horizontal="left" vertical="center"/>
    </xf>
    <xf numFmtId="0" fontId="3" fillId="4" borderId="18" xfId="0" quotePrefix="1" applyFont="1" applyFill="1" applyBorder="1" applyAlignment="1">
      <alignment horizontal="center" vertical="center"/>
    </xf>
    <xf numFmtId="0" fontId="0" fillId="4" borderId="18" xfId="0" quotePrefix="1" applyFont="1" applyFill="1" applyBorder="1" applyAlignment="1">
      <alignment horizontal="center" vertical="center"/>
    </xf>
    <xf numFmtId="0" fontId="3" fillId="4" borderId="15" xfId="0" quotePrefix="1" applyFont="1" applyFill="1" applyBorder="1" applyAlignment="1">
      <alignment horizontal="left" vertical="top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4" fillId="0" borderId="11" xfId="0" quotePrefix="1" applyFont="1" applyBorder="1" applyAlignment="1">
      <alignment horizontal="center" vertical="center"/>
    </xf>
    <xf numFmtId="0" fontId="4" fillId="0" borderId="12" xfId="0" quotePrefix="1" applyFont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/>
    </xf>
    <xf numFmtId="0" fontId="6" fillId="0" borderId="16" xfId="0" quotePrefix="1" applyFont="1" applyBorder="1" applyAlignment="1">
      <alignment horizontal="left" vertical="top"/>
    </xf>
    <xf numFmtId="0" fontId="7" fillId="0" borderId="1" xfId="0" quotePrefix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park/Desktop/CSP-Latest/CSPMB01_v100_AD18/_BOM/CSPMB01_REV099_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ized"/>
    </sheetNames>
    <sheetDataSet>
      <sheetData sheetId="0" refreshError="1">
        <row r="23">
          <cell r="B23" t="str">
            <v>Capacitor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tabSelected="1" zoomScale="85" zoomScaleNormal="85" workbookViewId="0">
      <selection activeCell="C47" sqref="C47"/>
    </sheetView>
  </sheetViews>
  <sheetFormatPr defaultRowHeight="15" x14ac:dyDescent="0.25"/>
  <cols>
    <col min="1" max="1" width="6.7109375" style="21" bestFit="1" customWidth="1"/>
    <col min="2" max="2" width="15.7109375" bestFit="1" customWidth="1"/>
    <col min="3" max="3" width="47" customWidth="1"/>
    <col min="4" max="4" width="50.5703125" style="19" bestFit="1" customWidth="1"/>
    <col min="5" max="5" width="20.5703125" bestFit="1" customWidth="1"/>
    <col min="6" max="6" width="28.42578125" bestFit="1" customWidth="1"/>
    <col min="7" max="7" width="8.42578125" customWidth="1"/>
    <col min="8" max="8" width="20" bestFit="1" customWidth="1"/>
    <col min="9" max="9" width="15.7109375" bestFit="1" customWidth="1"/>
    <col min="12" max="12" width="15.5703125" customWidth="1"/>
  </cols>
  <sheetData>
    <row r="1" spans="1:18" ht="19.5" thickBot="1" x14ac:dyDescent="0.3">
      <c r="A1" s="77" t="s">
        <v>140</v>
      </c>
      <c r="B1" s="78"/>
      <c r="C1" s="78"/>
      <c r="D1" s="78"/>
      <c r="E1" s="78"/>
      <c r="F1" s="78"/>
      <c r="G1" s="78"/>
      <c r="H1" s="78"/>
      <c r="I1" s="78"/>
      <c r="J1" s="1"/>
      <c r="K1" s="1"/>
      <c r="L1" s="1"/>
      <c r="M1" s="1"/>
      <c r="N1" s="1"/>
      <c r="O1" s="1"/>
      <c r="P1" s="1"/>
      <c r="Q1" s="1"/>
      <c r="R1" s="1"/>
    </row>
    <row r="2" spans="1:18" ht="16.5" thickBot="1" x14ac:dyDescent="0.3">
      <c r="A2" s="30" t="s">
        <v>128</v>
      </c>
      <c r="B2" s="30" t="s">
        <v>129</v>
      </c>
      <c r="C2" s="31" t="s">
        <v>0</v>
      </c>
      <c r="D2" s="30" t="s">
        <v>1</v>
      </c>
      <c r="E2" s="30" t="s">
        <v>130</v>
      </c>
      <c r="F2" s="30" t="s">
        <v>131</v>
      </c>
      <c r="G2" s="30" t="s">
        <v>132</v>
      </c>
      <c r="H2" s="30" t="s">
        <v>170</v>
      </c>
      <c r="I2" s="30" t="s">
        <v>133</v>
      </c>
      <c r="J2" s="3"/>
      <c r="K2" s="3"/>
      <c r="L2" s="3"/>
    </row>
    <row r="3" spans="1:18" ht="16.5" thickBot="1" x14ac:dyDescent="0.3">
      <c r="A3" s="5">
        <v>1</v>
      </c>
      <c r="B3" s="79" t="str">
        <f>[1]Finalized!$B$23</f>
        <v>Capacitor</v>
      </c>
      <c r="C3" s="54" t="s">
        <v>3</v>
      </c>
      <c r="D3" s="44" t="s">
        <v>4</v>
      </c>
      <c r="E3" s="8" t="s">
        <v>5</v>
      </c>
      <c r="F3" s="28" t="s">
        <v>6</v>
      </c>
      <c r="G3" s="8" t="s">
        <v>2</v>
      </c>
      <c r="H3" s="8">
        <v>6</v>
      </c>
      <c r="I3" s="9">
        <v>100</v>
      </c>
      <c r="J3" s="6"/>
      <c r="K3" s="6"/>
      <c r="L3" s="3"/>
    </row>
    <row r="4" spans="1:18" ht="16.5" thickBot="1" x14ac:dyDescent="0.3">
      <c r="A4" s="5">
        <v>2</v>
      </c>
      <c r="B4" s="80"/>
      <c r="C4" s="55" t="s">
        <v>8</v>
      </c>
      <c r="D4" s="45" t="s">
        <v>9</v>
      </c>
      <c r="E4" s="10" t="s">
        <v>10</v>
      </c>
      <c r="F4" s="29" t="s">
        <v>11</v>
      </c>
      <c r="G4" s="10" t="s">
        <v>7</v>
      </c>
      <c r="H4" s="10">
        <v>6</v>
      </c>
      <c r="I4" s="11">
        <v>50</v>
      </c>
      <c r="J4" s="6"/>
      <c r="K4" s="6"/>
      <c r="L4" s="3"/>
    </row>
    <row r="5" spans="1:18" ht="16.5" thickBot="1" x14ac:dyDescent="0.3">
      <c r="A5" s="5">
        <v>3</v>
      </c>
      <c r="B5" s="80"/>
      <c r="C5" s="55" t="s">
        <v>13</v>
      </c>
      <c r="D5" s="45" t="s">
        <v>14</v>
      </c>
      <c r="E5" s="10" t="s">
        <v>10</v>
      </c>
      <c r="F5" s="29" t="s">
        <v>15</v>
      </c>
      <c r="G5" s="10" t="s">
        <v>12</v>
      </c>
      <c r="H5" s="10">
        <v>9</v>
      </c>
      <c r="I5" s="11">
        <v>20</v>
      </c>
      <c r="J5" s="6"/>
      <c r="K5" s="6"/>
      <c r="L5" s="3"/>
    </row>
    <row r="6" spans="1:18" ht="60.75" thickBot="1" x14ac:dyDescent="0.3">
      <c r="A6" s="5">
        <v>4</v>
      </c>
      <c r="B6" s="80"/>
      <c r="C6" s="56" t="s">
        <v>16</v>
      </c>
      <c r="D6" s="46" t="s">
        <v>17</v>
      </c>
      <c r="E6" s="10" t="s">
        <v>5</v>
      </c>
      <c r="F6" s="29" t="s">
        <v>18</v>
      </c>
      <c r="G6" s="10" t="s">
        <v>7</v>
      </c>
      <c r="H6" s="10">
        <v>90</v>
      </c>
      <c r="I6" s="11">
        <v>100</v>
      </c>
      <c r="J6" s="6"/>
      <c r="K6" s="6"/>
      <c r="L6" s="3"/>
    </row>
    <row r="7" spans="1:18" ht="16.5" thickBot="1" x14ac:dyDescent="0.3">
      <c r="A7" s="5">
        <v>5</v>
      </c>
      <c r="B7" s="80"/>
      <c r="C7" s="16" t="s">
        <v>20</v>
      </c>
      <c r="D7" s="45" t="s">
        <v>21</v>
      </c>
      <c r="E7" s="10" t="s">
        <v>22</v>
      </c>
      <c r="F7" s="29" t="s">
        <v>23</v>
      </c>
      <c r="G7" s="10" t="s">
        <v>19</v>
      </c>
      <c r="H7" s="10">
        <v>6</v>
      </c>
      <c r="I7" s="11">
        <v>20</v>
      </c>
      <c r="J7" s="6"/>
      <c r="K7" s="6"/>
      <c r="L7" s="3"/>
    </row>
    <row r="8" spans="1:18" ht="16.5" thickBot="1" x14ac:dyDescent="0.3">
      <c r="A8" s="5">
        <v>6</v>
      </c>
      <c r="B8" s="80"/>
      <c r="C8" s="16" t="s">
        <v>25</v>
      </c>
      <c r="D8" s="45" t="s">
        <v>26</v>
      </c>
      <c r="E8" s="10" t="s">
        <v>10</v>
      </c>
      <c r="F8" s="29" t="s">
        <v>27</v>
      </c>
      <c r="G8" s="10" t="s">
        <v>24</v>
      </c>
      <c r="H8" s="10">
        <v>3</v>
      </c>
      <c r="I8" s="11">
        <v>20</v>
      </c>
      <c r="J8" s="6"/>
      <c r="K8" s="6"/>
      <c r="L8" s="3"/>
    </row>
    <row r="9" spans="1:18" ht="16.5" thickBot="1" x14ac:dyDescent="0.3">
      <c r="A9" s="5">
        <v>7</v>
      </c>
      <c r="B9" s="80"/>
      <c r="C9" s="16" t="s">
        <v>28</v>
      </c>
      <c r="D9" s="45" t="s">
        <v>29</v>
      </c>
      <c r="E9" s="10" t="s">
        <v>5</v>
      </c>
      <c r="F9" s="29" t="s">
        <v>30</v>
      </c>
      <c r="G9" s="10" t="s">
        <v>12</v>
      </c>
      <c r="H9" s="10">
        <v>3</v>
      </c>
      <c r="I9" s="11">
        <v>50</v>
      </c>
      <c r="J9" s="6"/>
      <c r="K9" s="6"/>
      <c r="L9" s="3"/>
    </row>
    <row r="10" spans="1:18" ht="16.5" thickBot="1" x14ac:dyDescent="0.3">
      <c r="A10" s="5">
        <v>8</v>
      </c>
      <c r="B10" s="80"/>
      <c r="C10" s="16" t="s">
        <v>32</v>
      </c>
      <c r="D10" s="45" t="s">
        <v>33</v>
      </c>
      <c r="E10" s="10" t="s">
        <v>5</v>
      </c>
      <c r="F10" s="29" t="s">
        <v>34</v>
      </c>
      <c r="G10" s="10" t="s">
        <v>31</v>
      </c>
      <c r="H10" s="10">
        <v>6</v>
      </c>
      <c r="I10" s="11">
        <v>15</v>
      </c>
      <c r="J10" s="6"/>
      <c r="K10" s="6"/>
      <c r="L10" s="3"/>
    </row>
    <row r="11" spans="1:18" ht="16.5" thickBot="1" x14ac:dyDescent="0.3">
      <c r="A11" s="5">
        <v>9</v>
      </c>
      <c r="B11" s="81"/>
      <c r="C11" s="17" t="s">
        <v>36</v>
      </c>
      <c r="D11" s="47" t="s">
        <v>37</v>
      </c>
      <c r="E11" s="12" t="s">
        <v>5</v>
      </c>
      <c r="F11" s="26" t="s">
        <v>38</v>
      </c>
      <c r="G11" s="12" t="s">
        <v>35</v>
      </c>
      <c r="H11" s="12">
        <v>12</v>
      </c>
      <c r="I11" s="13">
        <v>50</v>
      </c>
      <c r="J11" s="6"/>
      <c r="K11" s="6"/>
      <c r="L11" s="3"/>
    </row>
    <row r="12" spans="1:18" ht="16.5" thickBot="1" x14ac:dyDescent="0.3">
      <c r="A12" s="5">
        <v>10</v>
      </c>
      <c r="B12" s="79" t="s">
        <v>134</v>
      </c>
      <c r="C12" s="15" t="s">
        <v>55</v>
      </c>
      <c r="D12" s="44" t="s">
        <v>56</v>
      </c>
      <c r="E12" s="8" t="s">
        <v>57</v>
      </c>
      <c r="F12" s="28" t="s">
        <v>54</v>
      </c>
      <c r="G12" s="8" t="s">
        <v>141</v>
      </c>
      <c r="H12" s="8">
        <v>3</v>
      </c>
      <c r="I12" s="9">
        <v>10</v>
      </c>
      <c r="J12" s="7"/>
      <c r="K12" s="7"/>
      <c r="L12" s="4"/>
      <c r="M12" s="2"/>
      <c r="N12" s="2"/>
    </row>
    <row r="13" spans="1:18" ht="30.75" thickBot="1" x14ac:dyDescent="0.3">
      <c r="A13" s="5">
        <v>11</v>
      </c>
      <c r="B13" s="81"/>
      <c r="C13" s="33" t="s">
        <v>59</v>
      </c>
      <c r="D13" s="44" t="s">
        <v>156</v>
      </c>
      <c r="E13" s="12" t="s">
        <v>57</v>
      </c>
      <c r="F13" s="26" t="s">
        <v>58</v>
      </c>
      <c r="G13" s="12" t="s">
        <v>141</v>
      </c>
      <c r="H13" s="12">
        <v>33</v>
      </c>
      <c r="I13" s="13">
        <v>40</v>
      </c>
      <c r="J13" s="6"/>
      <c r="K13" s="6"/>
      <c r="L13" s="3"/>
    </row>
    <row r="14" spans="1:18" ht="16.5" thickBot="1" x14ac:dyDescent="0.3">
      <c r="A14" s="5">
        <v>12</v>
      </c>
      <c r="B14" s="79" t="s">
        <v>135</v>
      </c>
      <c r="C14" s="42" t="s">
        <v>39</v>
      </c>
      <c r="D14" s="48" t="s">
        <v>40</v>
      </c>
      <c r="E14" s="28" t="s">
        <v>148</v>
      </c>
      <c r="F14" s="28" t="s">
        <v>149</v>
      </c>
      <c r="G14" s="28" t="s">
        <v>141</v>
      </c>
      <c r="H14" s="28">
        <v>3</v>
      </c>
      <c r="I14" s="43">
        <v>10</v>
      </c>
      <c r="J14" s="6"/>
      <c r="K14" s="6"/>
      <c r="L14" s="3"/>
    </row>
    <row r="15" spans="1:18" ht="16.5" thickBot="1" x14ac:dyDescent="0.3">
      <c r="A15" s="5">
        <v>13</v>
      </c>
      <c r="B15" s="80"/>
      <c r="C15" s="16" t="s">
        <v>42</v>
      </c>
      <c r="D15" s="45" t="s">
        <v>43</v>
      </c>
      <c r="E15" s="10" t="s">
        <v>44</v>
      </c>
      <c r="F15" s="29" t="s">
        <v>41</v>
      </c>
      <c r="G15" s="10" t="s">
        <v>141</v>
      </c>
      <c r="H15" s="10">
        <v>3</v>
      </c>
      <c r="I15" s="11">
        <v>20</v>
      </c>
      <c r="J15" s="6"/>
      <c r="K15" s="6"/>
      <c r="L15" s="3"/>
    </row>
    <row r="16" spans="1:18" ht="16.5" thickBot="1" x14ac:dyDescent="0.3">
      <c r="A16" s="5">
        <v>14</v>
      </c>
      <c r="B16" s="81"/>
      <c r="C16" s="25" t="s">
        <v>45</v>
      </c>
      <c r="D16" s="53" t="s">
        <v>46</v>
      </c>
      <c r="E16" s="26" t="s">
        <v>44</v>
      </c>
      <c r="F16" s="26" t="s">
        <v>163</v>
      </c>
      <c r="G16" s="26"/>
      <c r="H16" s="26">
        <v>6</v>
      </c>
      <c r="I16" s="27">
        <v>20</v>
      </c>
      <c r="J16" s="6"/>
      <c r="K16" s="6"/>
      <c r="L16" s="3"/>
    </row>
    <row r="17" spans="1:12" ht="16.5" thickBot="1" x14ac:dyDescent="0.3">
      <c r="A17" s="5">
        <v>15</v>
      </c>
      <c r="B17" s="71" t="s">
        <v>136</v>
      </c>
      <c r="C17" s="15" t="s">
        <v>61</v>
      </c>
      <c r="D17" s="44" t="s">
        <v>62</v>
      </c>
      <c r="E17" s="8" t="s">
        <v>63</v>
      </c>
      <c r="F17" s="28" t="s">
        <v>64</v>
      </c>
      <c r="G17" s="8" t="s">
        <v>60</v>
      </c>
      <c r="H17" s="8">
        <v>3</v>
      </c>
      <c r="I17" s="9">
        <v>20</v>
      </c>
      <c r="J17" s="6"/>
      <c r="K17" s="6"/>
      <c r="L17" s="3"/>
    </row>
    <row r="18" spans="1:12" ht="30.75" thickBot="1" x14ac:dyDescent="0.3">
      <c r="A18" s="5">
        <v>16</v>
      </c>
      <c r="B18" s="72"/>
      <c r="C18" s="24" t="s">
        <v>66</v>
      </c>
      <c r="D18" s="50" t="s">
        <v>67</v>
      </c>
      <c r="E18" s="10" t="s">
        <v>68</v>
      </c>
      <c r="F18" s="29" t="s">
        <v>69</v>
      </c>
      <c r="G18" s="10" t="s">
        <v>65</v>
      </c>
      <c r="H18" s="10">
        <v>69</v>
      </c>
      <c r="I18" s="11">
        <v>100</v>
      </c>
      <c r="J18" s="6"/>
      <c r="K18" s="6"/>
      <c r="L18" s="3"/>
    </row>
    <row r="19" spans="1:12" ht="16.5" thickBot="1" x14ac:dyDescent="0.3">
      <c r="A19" s="5">
        <v>17</v>
      </c>
      <c r="B19" s="72"/>
      <c r="C19" s="57" t="s">
        <v>71</v>
      </c>
      <c r="D19" s="58" t="s">
        <v>72</v>
      </c>
      <c r="E19" s="29" t="s">
        <v>63</v>
      </c>
      <c r="F19" s="29" t="s">
        <v>164</v>
      </c>
      <c r="G19" s="29" t="s">
        <v>70</v>
      </c>
      <c r="H19" s="29">
        <v>3</v>
      </c>
      <c r="I19" s="59">
        <v>100</v>
      </c>
      <c r="J19" s="6"/>
      <c r="K19" s="6"/>
      <c r="L19" s="3"/>
    </row>
    <row r="20" spans="1:12" ht="30.75" thickBot="1" x14ac:dyDescent="0.3">
      <c r="A20" s="5">
        <v>18</v>
      </c>
      <c r="B20" s="72"/>
      <c r="C20" s="16" t="s">
        <v>74</v>
      </c>
      <c r="D20" s="51" t="s">
        <v>157</v>
      </c>
      <c r="E20" s="10" t="s">
        <v>63</v>
      </c>
      <c r="F20" s="29" t="s">
        <v>75</v>
      </c>
      <c r="G20" s="10" t="s">
        <v>73</v>
      </c>
      <c r="H20" s="10">
        <v>39</v>
      </c>
      <c r="I20" s="11">
        <v>100</v>
      </c>
      <c r="J20" s="6"/>
      <c r="K20" s="6"/>
      <c r="L20" s="3"/>
    </row>
    <row r="21" spans="1:12" ht="16.5" thickBot="1" x14ac:dyDescent="0.3">
      <c r="A21" s="5">
        <v>19</v>
      </c>
      <c r="B21" s="72"/>
      <c r="C21" s="16" t="s">
        <v>77</v>
      </c>
      <c r="D21" s="45" t="s">
        <v>78</v>
      </c>
      <c r="E21" s="10" t="s">
        <v>68</v>
      </c>
      <c r="F21" s="29" t="s">
        <v>79</v>
      </c>
      <c r="G21" s="10" t="s">
        <v>76</v>
      </c>
      <c r="H21" s="10">
        <v>9</v>
      </c>
      <c r="I21" s="11">
        <v>100</v>
      </c>
      <c r="J21" s="6"/>
      <c r="K21" s="6"/>
      <c r="L21" s="3"/>
    </row>
    <row r="22" spans="1:12" ht="16.5" thickBot="1" x14ac:dyDescent="0.3">
      <c r="A22" s="5">
        <v>20</v>
      </c>
      <c r="B22" s="72"/>
      <c r="C22" s="16" t="s">
        <v>81</v>
      </c>
      <c r="D22" s="51" t="s">
        <v>158</v>
      </c>
      <c r="E22" s="10" t="s">
        <v>68</v>
      </c>
      <c r="F22" s="29" t="s">
        <v>82</v>
      </c>
      <c r="G22" s="10" t="s">
        <v>80</v>
      </c>
      <c r="H22" s="10">
        <v>6</v>
      </c>
      <c r="I22" s="11">
        <v>50</v>
      </c>
      <c r="J22" s="6"/>
      <c r="K22" s="6"/>
      <c r="L22" s="3"/>
    </row>
    <row r="23" spans="1:12" ht="16.5" thickBot="1" x14ac:dyDescent="0.3">
      <c r="A23" s="5">
        <v>21</v>
      </c>
      <c r="B23" s="72"/>
      <c r="C23" s="16" t="s">
        <v>84</v>
      </c>
      <c r="D23" s="51" t="s">
        <v>85</v>
      </c>
      <c r="E23" s="10" t="s">
        <v>68</v>
      </c>
      <c r="F23" s="29" t="s">
        <v>86</v>
      </c>
      <c r="G23" s="10" t="s">
        <v>83</v>
      </c>
      <c r="H23" s="10">
        <v>30</v>
      </c>
      <c r="I23" s="11">
        <v>100</v>
      </c>
      <c r="J23" s="6"/>
      <c r="K23" s="6"/>
      <c r="L23" s="3"/>
    </row>
    <row r="24" spans="1:12" ht="16.5" thickBot="1" x14ac:dyDescent="0.3">
      <c r="A24" s="5">
        <v>22</v>
      </c>
      <c r="B24" s="72"/>
      <c r="C24" s="16" t="s">
        <v>88</v>
      </c>
      <c r="D24" s="51" t="s">
        <v>89</v>
      </c>
      <c r="E24" s="10" t="s">
        <v>68</v>
      </c>
      <c r="F24" s="29" t="s">
        <v>90</v>
      </c>
      <c r="G24" s="10" t="s">
        <v>87</v>
      </c>
      <c r="H24" s="10">
        <v>30</v>
      </c>
      <c r="I24" s="11">
        <v>100</v>
      </c>
      <c r="J24" s="6"/>
      <c r="K24" s="6"/>
      <c r="L24" s="3"/>
    </row>
    <row r="25" spans="1:12" ht="16.5" thickBot="1" x14ac:dyDescent="0.3">
      <c r="A25" s="5">
        <v>23</v>
      </c>
      <c r="B25" s="73"/>
      <c r="C25" s="25" t="s">
        <v>92</v>
      </c>
      <c r="D25" s="53" t="s">
        <v>93</v>
      </c>
      <c r="E25" s="26" t="s">
        <v>68</v>
      </c>
      <c r="F25" s="26" t="s">
        <v>165</v>
      </c>
      <c r="G25" s="26" t="s">
        <v>91</v>
      </c>
      <c r="H25" s="26">
        <v>12</v>
      </c>
      <c r="I25" s="27">
        <v>100</v>
      </c>
      <c r="J25" s="6"/>
      <c r="K25" s="6"/>
      <c r="L25" s="3"/>
    </row>
    <row r="26" spans="1:12" ht="16.5" thickBot="1" x14ac:dyDescent="0.3">
      <c r="A26" s="5">
        <v>24</v>
      </c>
      <c r="B26" s="74" t="s">
        <v>139</v>
      </c>
      <c r="C26" s="15" t="s">
        <v>97</v>
      </c>
      <c r="D26" s="44" t="s">
        <v>98</v>
      </c>
      <c r="E26" s="8" t="s">
        <v>142</v>
      </c>
      <c r="F26" s="28" t="s">
        <v>96</v>
      </c>
      <c r="G26" s="8" t="s">
        <v>141</v>
      </c>
      <c r="H26" s="8">
        <v>27</v>
      </c>
      <c r="I26" s="9">
        <v>30</v>
      </c>
      <c r="J26" s="6"/>
      <c r="K26" s="6"/>
      <c r="L26" s="3"/>
    </row>
    <row r="27" spans="1:12" ht="30.75" thickBot="1" x14ac:dyDescent="0.3">
      <c r="A27" s="5">
        <v>25</v>
      </c>
      <c r="B27" s="75"/>
      <c r="C27" s="60" t="s">
        <v>100</v>
      </c>
      <c r="D27" s="45" t="s">
        <v>101</v>
      </c>
      <c r="E27" s="10" t="s">
        <v>142</v>
      </c>
      <c r="F27" s="29" t="s">
        <v>99</v>
      </c>
      <c r="G27" s="10" t="s">
        <v>141</v>
      </c>
      <c r="H27" s="10">
        <v>3</v>
      </c>
      <c r="I27" s="11">
        <v>6</v>
      </c>
      <c r="J27" s="6"/>
      <c r="K27" s="6"/>
      <c r="L27" s="3"/>
    </row>
    <row r="28" spans="1:12" ht="16.5" thickBot="1" x14ac:dyDescent="0.3">
      <c r="A28" s="5">
        <v>26</v>
      </c>
      <c r="B28" s="75"/>
      <c r="C28" s="16" t="s">
        <v>103</v>
      </c>
      <c r="D28" s="45" t="s">
        <v>104</v>
      </c>
      <c r="E28" s="10" t="s">
        <v>142</v>
      </c>
      <c r="F28" s="29" t="s">
        <v>102</v>
      </c>
      <c r="G28" s="10" t="s">
        <v>141</v>
      </c>
      <c r="H28" s="10">
        <v>3</v>
      </c>
      <c r="I28" s="11">
        <v>6</v>
      </c>
      <c r="J28" s="6"/>
      <c r="K28" s="6"/>
      <c r="L28" s="3"/>
    </row>
    <row r="29" spans="1:12" ht="16.5" thickBot="1" x14ac:dyDescent="0.3">
      <c r="A29" s="5">
        <v>27</v>
      </c>
      <c r="B29" s="75"/>
      <c r="C29" s="36" t="s">
        <v>49</v>
      </c>
      <c r="D29" s="32" t="s">
        <v>147</v>
      </c>
      <c r="E29" s="37" t="s">
        <v>142</v>
      </c>
      <c r="F29" s="32" t="s">
        <v>147</v>
      </c>
      <c r="G29" s="10" t="s">
        <v>141</v>
      </c>
      <c r="H29" s="37">
        <v>45</v>
      </c>
      <c r="I29" s="32" t="s">
        <v>147</v>
      </c>
      <c r="J29" s="6"/>
      <c r="K29" s="6"/>
      <c r="L29" s="3"/>
    </row>
    <row r="30" spans="1:12" ht="16.5" thickBot="1" x14ac:dyDescent="0.3">
      <c r="A30" s="5">
        <v>28</v>
      </c>
      <c r="B30" s="76"/>
      <c r="C30" s="18" t="s">
        <v>107</v>
      </c>
      <c r="D30" s="49" t="s">
        <v>108</v>
      </c>
      <c r="E30" s="14" t="s">
        <v>142</v>
      </c>
      <c r="F30" s="14" t="s">
        <v>106</v>
      </c>
      <c r="G30" s="14" t="s">
        <v>141</v>
      </c>
      <c r="H30" s="14">
        <v>8</v>
      </c>
      <c r="I30" s="35">
        <v>10</v>
      </c>
      <c r="J30" s="6"/>
      <c r="K30" s="6"/>
      <c r="L30" s="3"/>
    </row>
    <row r="31" spans="1:12" ht="16.5" thickBot="1" x14ac:dyDescent="0.3">
      <c r="A31" s="5">
        <v>29</v>
      </c>
      <c r="B31" s="41" t="s">
        <v>150</v>
      </c>
      <c r="C31" s="63" t="s">
        <v>151</v>
      </c>
      <c r="D31" s="64" t="s">
        <v>155</v>
      </c>
      <c r="E31" s="65" t="s">
        <v>152</v>
      </c>
      <c r="F31" s="65" t="s">
        <v>153</v>
      </c>
      <c r="G31" s="65" t="s">
        <v>141</v>
      </c>
      <c r="H31" s="65">
        <v>3</v>
      </c>
      <c r="I31" s="66">
        <v>5</v>
      </c>
      <c r="J31" s="6"/>
      <c r="K31" s="6"/>
      <c r="L31" s="3"/>
    </row>
    <row r="32" spans="1:12" ht="16.5" thickBot="1" x14ac:dyDescent="0.3">
      <c r="A32" s="5">
        <v>30</v>
      </c>
      <c r="B32" s="34" t="s">
        <v>154</v>
      </c>
      <c r="C32" s="38"/>
      <c r="D32" s="52"/>
      <c r="E32" s="39"/>
      <c r="F32" s="39"/>
      <c r="G32" s="39"/>
      <c r="H32" s="39"/>
      <c r="I32" s="40"/>
      <c r="J32" s="6"/>
      <c r="K32" s="6"/>
      <c r="L32" s="3"/>
    </row>
    <row r="33" spans="1:12" ht="16.5" thickBot="1" x14ac:dyDescent="0.3">
      <c r="A33" s="5">
        <v>31</v>
      </c>
      <c r="B33" s="74" t="s">
        <v>137</v>
      </c>
      <c r="C33" s="42" t="s">
        <v>47</v>
      </c>
      <c r="D33" s="48" t="s">
        <v>48</v>
      </c>
      <c r="E33" s="28" t="s">
        <v>142</v>
      </c>
      <c r="F33" s="28" t="s">
        <v>167</v>
      </c>
      <c r="G33" s="28" t="s">
        <v>141</v>
      </c>
      <c r="H33" s="28">
        <v>30</v>
      </c>
      <c r="I33" s="43">
        <v>60</v>
      </c>
      <c r="J33" s="6"/>
      <c r="K33" s="6"/>
      <c r="L33" s="3"/>
    </row>
    <row r="34" spans="1:12" ht="16.5" thickBot="1" x14ac:dyDescent="0.3">
      <c r="A34" s="5">
        <v>32</v>
      </c>
      <c r="B34" s="75"/>
      <c r="C34" s="82" t="s">
        <v>51</v>
      </c>
      <c r="D34" s="83" t="s">
        <v>52</v>
      </c>
      <c r="E34" s="84" t="s">
        <v>142</v>
      </c>
      <c r="F34" s="84" t="s">
        <v>50</v>
      </c>
      <c r="G34" s="84" t="s">
        <v>141</v>
      </c>
      <c r="H34" s="84">
        <v>6</v>
      </c>
      <c r="I34" s="85" t="s">
        <v>147</v>
      </c>
      <c r="J34" s="6"/>
      <c r="K34" s="6"/>
      <c r="L34" s="3"/>
    </row>
    <row r="35" spans="1:12" ht="16.5" thickBot="1" x14ac:dyDescent="0.3">
      <c r="A35" s="5">
        <v>33</v>
      </c>
      <c r="B35" s="75"/>
      <c r="C35" s="82" t="s">
        <v>94</v>
      </c>
      <c r="D35" s="83" t="s">
        <v>95</v>
      </c>
      <c r="E35" s="84" t="s">
        <v>142</v>
      </c>
      <c r="F35" s="84" t="s">
        <v>53</v>
      </c>
      <c r="G35" s="84" t="s">
        <v>141</v>
      </c>
      <c r="H35" s="84">
        <v>18</v>
      </c>
      <c r="I35" s="85" t="s">
        <v>147</v>
      </c>
      <c r="J35" s="6"/>
      <c r="K35" s="6"/>
      <c r="L35" s="3"/>
    </row>
    <row r="36" spans="1:12" ht="16.5" thickBot="1" x14ac:dyDescent="0.3">
      <c r="A36" s="5">
        <v>34</v>
      </c>
      <c r="B36" s="75"/>
      <c r="C36" s="82" t="s">
        <v>160</v>
      </c>
      <c r="D36" s="83" t="s">
        <v>161</v>
      </c>
      <c r="E36" s="84" t="s">
        <v>142</v>
      </c>
      <c r="F36" s="84" t="s">
        <v>162</v>
      </c>
      <c r="G36" s="84" t="s">
        <v>141</v>
      </c>
      <c r="H36" s="84">
        <v>9</v>
      </c>
      <c r="I36" s="85" t="s">
        <v>147</v>
      </c>
      <c r="J36" s="6"/>
      <c r="K36" s="6"/>
      <c r="L36" s="3"/>
    </row>
    <row r="37" spans="1:12" s="20" customFormat="1" ht="30.75" thickBot="1" x14ac:dyDescent="0.3">
      <c r="A37" s="5">
        <v>35</v>
      </c>
      <c r="B37" s="75"/>
      <c r="C37" s="61" t="s">
        <v>105</v>
      </c>
      <c r="D37" s="62" t="s">
        <v>159</v>
      </c>
      <c r="E37" s="29" t="s">
        <v>142</v>
      </c>
      <c r="F37" s="29" t="s">
        <v>166</v>
      </c>
      <c r="G37" s="29" t="s">
        <v>141</v>
      </c>
      <c r="H37" s="29">
        <v>39</v>
      </c>
      <c r="I37" s="59">
        <v>50</v>
      </c>
      <c r="J37" s="22"/>
      <c r="K37" s="22"/>
      <c r="L37" s="23"/>
    </row>
    <row r="38" spans="1:12" ht="16.5" thickBot="1" x14ac:dyDescent="0.3">
      <c r="A38" s="5">
        <v>36</v>
      </c>
      <c r="B38" s="75"/>
      <c r="C38" s="16" t="s">
        <v>120</v>
      </c>
      <c r="D38" s="45" t="s">
        <v>121</v>
      </c>
      <c r="E38" s="10" t="s">
        <v>142</v>
      </c>
      <c r="F38" s="29" t="s">
        <v>119</v>
      </c>
      <c r="G38" s="10" t="s">
        <v>141</v>
      </c>
      <c r="H38" s="10">
        <v>3</v>
      </c>
      <c r="I38" s="11">
        <v>5</v>
      </c>
      <c r="J38" s="6"/>
      <c r="K38" s="6"/>
      <c r="L38" s="3"/>
    </row>
    <row r="39" spans="1:12" ht="16.5" thickBot="1" x14ac:dyDescent="0.3">
      <c r="A39" s="5">
        <v>37</v>
      </c>
      <c r="B39" s="76"/>
      <c r="C39" s="17" t="s">
        <v>123</v>
      </c>
      <c r="D39" s="47" t="s">
        <v>124</v>
      </c>
      <c r="E39" s="12" t="s">
        <v>142</v>
      </c>
      <c r="F39" s="26" t="s">
        <v>122</v>
      </c>
      <c r="G39" s="12" t="s">
        <v>141</v>
      </c>
      <c r="H39" s="12">
        <v>3</v>
      </c>
      <c r="I39" s="13">
        <v>5</v>
      </c>
      <c r="J39" s="6"/>
      <c r="K39" s="6"/>
      <c r="L39" s="3"/>
    </row>
    <row r="40" spans="1:12" ht="30.75" thickBot="1" x14ac:dyDescent="0.3">
      <c r="A40" s="5">
        <v>38</v>
      </c>
      <c r="B40" s="68" t="s">
        <v>138</v>
      </c>
      <c r="C40" s="67" t="s">
        <v>169</v>
      </c>
      <c r="D40" s="48" t="s">
        <v>109</v>
      </c>
      <c r="E40" s="28" t="s">
        <v>143</v>
      </c>
      <c r="F40" s="28" t="s">
        <v>168</v>
      </c>
      <c r="G40" s="28" t="s">
        <v>141</v>
      </c>
      <c r="H40" s="28">
        <v>3</v>
      </c>
      <c r="I40" s="43">
        <v>5</v>
      </c>
      <c r="J40" s="6"/>
      <c r="K40" s="6"/>
      <c r="L40" s="3"/>
    </row>
    <row r="41" spans="1:12" ht="16.5" thickBot="1" x14ac:dyDescent="0.3">
      <c r="A41" s="5">
        <v>39</v>
      </c>
      <c r="B41" s="69"/>
      <c r="C41" s="16" t="s">
        <v>111</v>
      </c>
      <c r="D41" s="45" t="s">
        <v>112</v>
      </c>
      <c r="E41" s="10" t="s">
        <v>144</v>
      </c>
      <c r="F41" s="29" t="s">
        <v>110</v>
      </c>
      <c r="G41" s="10" t="s">
        <v>141</v>
      </c>
      <c r="H41" s="10">
        <v>3</v>
      </c>
      <c r="I41" s="11">
        <v>5</v>
      </c>
      <c r="J41" s="6"/>
      <c r="K41" s="6"/>
      <c r="L41" s="3"/>
    </row>
    <row r="42" spans="1:12" ht="16.5" thickBot="1" x14ac:dyDescent="0.3">
      <c r="A42" s="5">
        <v>40</v>
      </c>
      <c r="B42" s="69"/>
      <c r="C42" s="16" t="s">
        <v>114</v>
      </c>
      <c r="D42" s="45" t="s">
        <v>115</v>
      </c>
      <c r="E42" s="10" t="s">
        <v>145</v>
      </c>
      <c r="F42" s="29" t="s">
        <v>113</v>
      </c>
      <c r="G42" s="10" t="s">
        <v>141</v>
      </c>
      <c r="H42" s="10">
        <v>3</v>
      </c>
      <c r="I42" s="11">
        <v>5</v>
      </c>
      <c r="J42" s="6"/>
      <c r="K42" s="6"/>
      <c r="L42" s="3"/>
    </row>
    <row r="43" spans="1:12" ht="16.5" thickBot="1" x14ac:dyDescent="0.3">
      <c r="A43" s="5">
        <v>41</v>
      </c>
      <c r="B43" s="69"/>
      <c r="C43" s="16" t="s">
        <v>117</v>
      </c>
      <c r="D43" s="45" t="s">
        <v>118</v>
      </c>
      <c r="E43" s="10" t="s">
        <v>146</v>
      </c>
      <c r="F43" s="29" t="s">
        <v>116</v>
      </c>
      <c r="G43" s="10" t="s">
        <v>141</v>
      </c>
      <c r="H43" s="10">
        <v>3</v>
      </c>
      <c r="I43" s="11">
        <v>5</v>
      </c>
      <c r="J43" s="6"/>
      <c r="K43" s="6"/>
      <c r="L43" s="3"/>
    </row>
    <row r="44" spans="1:12" ht="16.5" thickBot="1" x14ac:dyDescent="0.3">
      <c r="A44" s="5">
        <v>42</v>
      </c>
      <c r="B44" s="70"/>
      <c r="C44" s="25" t="s">
        <v>125</v>
      </c>
      <c r="D44" s="53" t="s">
        <v>126</v>
      </c>
      <c r="E44" s="26" t="s">
        <v>142</v>
      </c>
      <c r="F44" s="26" t="s">
        <v>127</v>
      </c>
      <c r="G44" s="26" t="s">
        <v>141</v>
      </c>
      <c r="H44" s="26">
        <v>3</v>
      </c>
      <c r="I44" s="27">
        <v>5</v>
      </c>
      <c r="J44" s="6"/>
      <c r="K44" s="6"/>
      <c r="L44" s="3"/>
    </row>
  </sheetData>
  <mergeCells count="8">
    <mergeCell ref="B40:B44"/>
    <mergeCell ref="B17:B25"/>
    <mergeCell ref="B26:B30"/>
    <mergeCell ref="A1:I1"/>
    <mergeCell ref="B3:B11"/>
    <mergeCell ref="B12:B13"/>
    <mergeCell ref="B14:B16"/>
    <mergeCell ref="B33:B39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CountsFitnessBOM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Rahman</dc:creator>
  <cp:lastModifiedBy>eSpark Group</cp:lastModifiedBy>
  <dcterms:created xsi:type="dcterms:W3CDTF">2020-09-28T14:22:37Z</dcterms:created>
  <dcterms:modified xsi:type="dcterms:W3CDTF">2020-10-23T08:07:29Z</dcterms:modified>
</cp:coreProperties>
</file>