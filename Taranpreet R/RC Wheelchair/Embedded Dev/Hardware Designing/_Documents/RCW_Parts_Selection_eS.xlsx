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omments3.xml" ContentType="application/vnd.openxmlformats-officedocument.spreadsheetml.comments+xml"/>
  <Override PartName="/xl/drawings/drawing2.xml" ContentType="application/vnd.openxmlformats-officedocument.drawing+xml"/>
  <Override PartName="/xl/tables/table5.xml" ContentType="application/vnd.openxmlformats-officedocument.spreadsheetml.table+xml"/>
  <Override PartName="/xl/comments4.xml" ContentType="application/vnd.openxmlformats-officedocument.spreadsheetml.comments+xml"/>
  <Override PartName="/xl/tables/table6.xml" ContentType="application/vnd.openxmlformats-officedocument.spreadsheetml.table+xml"/>
  <Override PartName="/xl/drawings/drawing3.xml" ContentType="application/vnd.openxmlformats-officedocument.drawing+xml"/>
  <Override PartName="/xl/tables/table7.xml" ContentType="application/vnd.openxmlformats-officedocument.spreadsheetml.table+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aiza\Dropbox\Taranpreet R\RC Wheelchair\Embedded Dev\Hardware Designing\_Documents\"/>
    </mc:Choice>
  </mc:AlternateContent>
  <bookViews>
    <workbookView xWindow="0" yWindow="0" windowWidth="20490" windowHeight="7620" firstSheet="3" activeTab="3"/>
  </bookViews>
  <sheets>
    <sheet name="CameraInterface" sheetId="2" r:id="rId1"/>
    <sheet name="350W_MotorControl" sheetId="1" r:id="rId2"/>
    <sheet name="ChargingSection" sheetId="6" r:id="rId3"/>
    <sheet name="SensorsInterface" sheetId="3" r:id="rId4"/>
    <sheet name="Servo_MotorControl" sheetId="4" r:id="rId5"/>
    <sheet name="PowerSection" sheetId="5" r:id="rId6"/>
    <sheet name="MCU-WirelessSection" sheetId="7" r:id="rId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 i="7" l="1"/>
  <c r="H15" i="7" l="1"/>
  <c r="H14" i="7"/>
  <c r="H13" i="7"/>
  <c r="H11" i="7"/>
  <c r="H12" i="7"/>
  <c r="H7" i="3"/>
  <c r="H10" i="2"/>
  <c r="H6" i="3" l="1"/>
  <c r="H5" i="4" l="1"/>
  <c r="H11" i="1"/>
  <c r="H3" i="4" l="1"/>
  <c r="H4" i="4"/>
  <c r="H2" i="4"/>
  <c r="H13" i="6"/>
  <c r="H12" i="6"/>
  <c r="H11" i="6"/>
  <c r="H10" i="6"/>
  <c r="H2" i="6"/>
  <c r="H3" i="6"/>
  <c r="H4" i="6"/>
  <c r="H5" i="6"/>
  <c r="H6" i="6"/>
  <c r="H7" i="6"/>
  <c r="H8" i="6"/>
  <c r="H9" i="6"/>
  <c r="H14" i="6"/>
  <c r="H4" i="7"/>
  <c r="H5" i="7"/>
  <c r="H6" i="7"/>
  <c r="H7" i="7"/>
  <c r="H8" i="7"/>
  <c r="H9" i="7"/>
  <c r="H10" i="7"/>
  <c r="H2" i="7"/>
  <c r="H3" i="5"/>
  <c r="H4" i="5"/>
  <c r="H5" i="5"/>
  <c r="H6" i="5"/>
  <c r="H7" i="5"/>
  <c r="H8" i="5"/>
  <c r="H2" i="5"/>
  <c r="H5" i="3"/>
  <c r="H3" i="3"/>
  <c r="H4" i="3"/>
  <c r="H2" i="3"/>
  <c r="H16" i="7" l="1"/>
  <c r="H8" i="3"/>
  <c r="H9" i="5"/>
  <c r="H15" i="6"/>
  <c r="H3" i="2"/>
  <c r="H4" i="2"/>
  <c r="H5" i="2"/>
  <c r="H6" i="2"/>
  <c r="H7" i="2"/>
  <c r="H8" i="2"/>
  <c r="H9" i="2"/>
  <c r="H2" i="2" l="1"/>
  <c r="H11" i="2" s="1"/>
  <c r="H3" i="1" l="1"/>
  <c r="H4" i="1"/>
  <c r="H5" i="1"/>
  <c r="H6" i="1"/>
  <c r="H7" i="1"/>
  <c r="H8" i="1"/>
  <c r="H9" i="1"/>
  <c r="H10" i="1"/>
  <c r="H2" i="1"/>
</calcChain>
</file>

<file path=xl/comments1.xml><?xml version="1.0" encoding="utf-8"?>
<comments xmlns="http://schemas.openxmlformats.org/spreadsheetml/2006/main">
  <authors>
    <author>RoverConcepts</author>
  </authors>
  <commentList>
    <comment ref="B1" authorId="0" shapeId="0">
      <text>
        <r>
          <rPr>
            <b/>
            <sz val="9"/>
            <color indexed="81"/>
            <rFont val="Tahoma"/>
            <charset val="1"/>
          </rPr>
          <t>RoverConcepts:</t>
        </r>
        <r>
          <rPr>
            <sz val="9"/>
            <color indexed="81"/>
            <rFont val="Tahoma"/>
            <charset val="1"/>
          </rPr>
          <t xml:space="preserve">
Do we need to add components that allows switching btween the forward and reverse camera - depending on in which direction the motor is powered.
Multiplexer IC added</t>
        </r>
      </text>
    </comment>
    <comment ref="G1" authorId="0" shapeId="0">
      <text>
        <r>
          <rPr>
            <b/>
            <sz val="9"/>
            <color indexed="81"/>
            <rFont val="Tahoma"/>
            <charset val="1"/>
          </rPr>
          <t>RoverConcepts:</t>
        </r>
        <r>
          <rPr>
            <sz val="9"/>
            <color indexed="81"/>
            <rFont val="Tahoma"/>
            <charset val="1"/>
          </rPr>
          <t xml:space="preserve">
Do we need two of these? 
We are using two camera systems - one for forward vision and one for rear vision depending on which direction the cart is running in.
Correction Done
</t>
        </r>
      </text>
    </comment>
  </commentList>
</comments>
</file>

<file path=xl/comments2.xml><?xml version="1.0" encoding="utf-8"?>
<comments xmlns="http://schemas.openxmlformats.org/spreadsheetml/2006/main">
  <authors>
    <author>RoverConcepts</author>
  </authors>
  <commentList>
    <comment ref="B1" authorId="0" shapeId="0">
      <text>
        <r>
          <rPr>
            <b/>
            <sz val="9"/>
            <color indexed="81"/>
            <rFont val="Tahoma"/>
            <charset val="1"/>
          </rPr>
          <t>RoverConcepts:</t>
        </r>
        <r>
          <rPr>
            <sz val="9"/>
            <color indexed="81"/>
            <rFont val="Tahoma"/>
            <charset val="1"/>
          </rPr>
          <t xml:space="preserve">
What about relays? How are we changing the polarity of motor current? - Do we need traditional relays?
The Motor driver IC is handling the complete bi-directional capabilities of the motor. Plus, using Power FETs has fully eliminated the need for Relays.</t>
        </r>
      </text>
    </comment>
    <comment ref="D3" authorId="0" shapeId="0">
      <text>
        <r>
          <rPr>
            <b/>
            <sz val="9"/>
            <color indexed="81"/>
            <rFont val="Tahoma"/>
            <charset val="1"/>
          </rPr>
          <t>RoverConcepts:</t>
        </r>
        <r>
          <rPr>
            <sz val="9"/>
            <color indexed="81"/>
            <rFont val="Tahoma"/>
            <charset val="1"/>
          </rPr>
          <t xml:space="preserve">
Seems like manufacturer Standard Lead Time is 8 Weeks. Can you please check if we want to use this or a different one?
I will not rely only on digikey. The BOM will be sent out to 2 / 3 suppliers including Mouser / Arrow and the fast delivery options will be preferred. I have my own contact person dealing all tihs work.</t>
        </r>
      </text>
    </comment>
    <comment ref="B11" authorId="0" shapeId="0">
      <text>
        <r>
          <rPr>
            <b/>
            <sz val="9"/>
            <color indexed="81"/>
            <rFont val="Tahoma"/>
            <charset val="1"/>
          </rPr>
          <t>RoverConcepts:</t>
        </r>
        <r>
          <rPr>
            <sz val="9"/>
            <color indexed="81"/>
            <rFont val="Tahoma"/>
            <charset val="1"/>
          </rPr>
          <t xml:space="preserve">
Do we need heat sink?
We may need one. Initially, in the prototype boards, we will try to counteract by using proper routing methods. If during testing, this doesn't work, heat sink will be added during testing to observe the performance</t>
        </r>
      </text>
    </comment>
  </commentList>
</comments>
</file>

<file path=xl/comments3.xml><?xml version="1.0" encoding="utf-8"?>
<comments xmlns="http://schemas.openxmlformats.org/spreadsheetml/2006/main">
  <authors>
    <author>RoverConcepts</author>
  </authors>
  <commentList>
    <comment ref="G5" authorId="0" shapeId="0">
      <text>
        <r>
          <rPr>
            <b/>
            <sz val="9"/>
            <color indexed="81"/>
            <rFont val="Tahoma"/>
            <charset val="1"/>
          </rPr>
          <t>RoverConcepts:</t>
        </r>
        <r>
          <rPr>
            <sz val="9"/>
            <color indexed="81"/>
            <rFont val="Tahoma"/>
            <charset val="1"/>
          </rPr>
          <t xml:space="preserve">
There are 4 running lights (2 front, 2 rear) we may usie something like this too: 
https://www.amazon.com/Universal-Waterproof-Trucks-Daytime-Running/dp/B071PFC1H2/ref=sr_1_33?dchild=1&amp;keywords=daytime+running+lights&amp;qid=1594866293&amp;sr=8-33
</t>
        </r>
      </text>
    </comment>
    <comment ref="B6" authorId="0" shapeId="0">
      <text>
        <r>
          <rPr>
            <b/>
            <sz val="9"/>
            <color indexed="81"/>
            <rFont val="Tahoma"/>
            <charset val="1"/>
          </rPr>
          <t>RoverConcepts:</t>
        </r>
        <r>
          <rPr>
            <sz val="9"/>
            <color indexed="81"/>
            <rFont val="Tahoma"/>
            <charset val="1"/>
          </rPr>
          <t xml:space="preserve">
Lets replace them with DC1C-A1AA
https://www.digikey.com/product-detail/en/zf-electronics/DC1C-A1AA/CH290-ND/280836
Replaced</t>
        </r>
      </text>
    </comment>
    <comment ref="B8" authorId="0" shapeId="0">
      <text>
        <r>
          <rPr>
            <b/>
            <sz val="9"/>
            <color indexed="81"/>
            <rFont val="Tahoma"/>
            <charset val="1"/>
          </rPr>
          <t>RoverConcepts:</t>
        </r>
        <r>
          <rPr>
            <sz val="9"/>
            <color indexed="81"/>
            <rFont val="Tahoma"/>
            <charset val="1"/>
          </rPr>
          <t xml:space="preserve">
We are missing night lamps x2
Correction Done</t>
        </r>
      </text>
    </comment>
  </commentList>
</comments>
</file>

<file path=xl/comments4.xml><?xml version="1.0" encoding="utf-8"?>
<comments xmlns="http://schemas.openxmlformats.org/spreadsheetml/2006/main">
  <authors>
    <author>RoverConcepts</author>
  </authors>
  <commentList>
    <comment ref="B2" authorId="0" shapeId="0">
      <text>
        <r>
          <rPr>
            <b/>
            <sz val="9"/>
            <color indexed="81"/>
            <rFont val="Tahoma"/>
            <charset val="1"/>
          </rPr>
          <t>RoverConcepts:</t>
        </r>
        <r>
          <rPr>
            <sz val="9"/>
            <color indexed="81"/>
            <rFont val="Tahoma"/>
            <charset val="1"/>
          </rPr>
          <t xml:space="preserve">
The Servo can be controlled via three methods - do we need any components to control the servo? Please see the controls settings:
I am not sure I understand this query. Can you please elaborate? Originally, all the circuitry is present on the module and just needs pin connections from controller for controlling. Is this what is meant?</t>
        </r>
      </text>
    </comment>
  </commentList>
</comments>
</file>

<file path=xl/comments5.xml><?xml version="1.0" encoding="utf-8"?>
<comments xmlns="http://schemas.openxmlformats.org/spreadsheetml/2006/main">
  <authors>
    <author>RoverConcepts</author>
  </authors>
  <commentList>
    <comment ref="G5" authorId="0" shapeId="0">
      <text>
        <r>
          <rPr>
            <b/>
            <sz val="9"/>
            <color indexed="81"/>
            <rFont val="Tahoma"/>
            <charset val="1"/>
          </rPr>
          <t>RoverConcepts:</t>
        </r>
        <r>
          <rPr>
            <sz val="9"/>
            <color indexed="81"/>
            <rFont val="Tahoma"/>
            <family val="2"/>
          </rPr>
          <t xml:space="preserve"> 
I think we need four of these?
Corrected</t>
        </r>
      </text>
    </comment>
    <comment ref="B16" authorId="0" shapeId="0">
      <text>
        <r>
          <rPr>
            <b/>
            <sz val="9"/>
            <color indexed="81"/>
            <rFont val="Tahoma"/>
            <family val="2"/>
          </rPr>
          <t>RoverConcepts:</t>
        </r>
        <r>
          <rPr>
            <sz val="9"/>
            <color indexed="81"/>
            <rFont val="Tahoma"/>
            <family val="2"/>
          </rPr>
          <t xml:space="preserve">
Screen, Antenna, Battery, Power Button, Emergency Stop Button.
Added
</t>
        </r>
      </text>
    </comment>
  </commentList>
</comments>
</file>

<file path=xl/sharedStrings.xml><?xml version="1.0" encoding="utf-8"?>
<sst xmlns="http://schemas.openxmlformats.org/spreadsheetml/2006/main" count="316" uniqueCount="170">
  <si>
    <t>S.No</t>
  </si>
  <si>
    <t>Component Name</t>
  </si>
  <si>
    <t>Description</t>
  </si>
  <si>
    <t>Supplier Ref</t>
  </si>
  <si>
    <t>Unit Cost</t>
  </si>
  <si>
    <t>Remarks</t>
  </si>
  <si>
    <t>Motor Driver</t>
  </si>
  <si>
    <t>Mfp Part Number</t>
  </si>
  <si>
    <t>DRV8701ERGET</t>
  </si>
  <si>
    <t xml:space="preserve">IC MOTOR DRIVER 0V-5.5V 24VQFN </t>
  </si>
  <si>
    <t>Digikey</t>
  </si>
  <si>
    <t>Qty</t>
  </si>
  <si>
    <t>Total Cost</t>
  </si>
  <si>
    <t>MOSFET</t>
  </si>
  <si>
    <t>CSD18540Q5B</t>
  </si>
  <si>
    <t xml:space="preserve">MOSFET N-CH 60V 100A 8VSON </t>
  </si>
  <si>
    <t>Alum Capacitor</t>
  </si>
  <si>
    <t>UCD1V471MNL6GS</t>
  </si>
  <si>
    <t xml:space="preserve">CAP ALUM 470UF 20% 35V RAD SMD </t>
  </si>
  <si>
    <t>Ceramic Capacitor</t>
  </si>
  <si>
    <t xml:space="preserve">0201B102K160CT </t>
  </si>
  <si>
    <t xml:space="preserve">CAP CER 1000PF 16V X7R 0201 </t>
  </si>
  <si>
    <t>CL10B105KO8NNNC</t>
  </si>
  <si>
    <t xml:space="preserve">CAP CER 1UF 16V X7R 0603 </t>
  </si>
  <si>
    <t xml:space="preserve">CL05B104KB54PNC </t>
  </si>
  <si>
    <t>CAP CER 0.1UF 50V X7R 0402</t>
  </si>
  <si>
    <t>CL31B106KBHNNNE</t>
  </si>
  <si>
    <t>CAP CER 10UF 50V X7R 1206</t>
  </si>
  <si>
    <t>Chip Resistor</t>
  </si>
  <si>
    <t>RK73H1ETTP1002F</t>
  </si>
  <si>
    <t>RES 10K OHM 1% 1/10W 0402</t>
  </si>
  <si>
    <t xml:space="preserve">RC0603FR-0768KL </t>
  </si>
  <si>
    <t>RES SMD 68K OHM 1% 1/10W 0603</t>
  </si>
  <si>
    <t>Camera Module</t>
  </si>
  <si>
    <t>HBVCAM-3M1917 V22</t>
  </si>
  <si>
    <t>IC</t>
  </si>
  <si>
    <t>Diode</t>
  </si>
  <si>
    <t>BQ24450DWTR</t>
  </si>
  <si>
    <t>Charger IC Lead Acid 16-SOIC</t>
  </si>
  <si>
    <t>Wireless tranciever</t>
  </si>
  <si>
    <t>DigiKey</t>
  </si>
  <si>
    <t>NRF24L01</t>
  </si>
  <si>
    <t>Aliexpress</t>
  </si>
  <si>
    <t>GRM188R61C106KAALJ</t>
  </si>
  <si>
    <t>10µF ±10% 16V Ceramic Capacitor X5R 0603 (1608 Metric)</t>
  </si>
  <si>
    <t>Solenoid</t>
  </si>
  <si>
    <t>SOLENOID PULL 12V</t>
  </si>
  <si>
    <t>Buzzer</t>
  </si>
  <si>
    <t>RS</t>
  </si>
  <si>
    <t>617-3097</t>
  </si>
  <si>
    <t>LED Lights</t>
  </si>
  <si>
    <t>Amazon</t>
  </si>
  <si>
    <t>DLLL One Pair DC 12V Universal Motorcycle Bike 12 LED</t>
  </si>
  <si>
    <t>-</t>
  </si>
  <si>
    <t>Weatherproof Ultrasonic Sensor w/ Separate Probe</t>
  </si>
  <si>
    <t>robotshop</t>
  </si>
  <si>
    <t>TLV76733DRVR</t>
  </si>
  <si>
    <t>Linear Voltage Regulator IC  1 Output  1A 6-WSON (2x2)</t>
  </si>
  <si>
    <t>BD50GC0WEFJ-E2</t>
  </si>
  <si>
    <t>Linear Voltage Regulator IC  1 Output  1A 8-HTSOP-J</t>
  </si>
  <si>
    <t>CP2102N-A02-GQFN24R</t>
  </si>
  <si>
    <t>RC0402FR-0722K6L</t>
  </si>
  <si>
    <t>ERJ-2RKF4702X</t>
  </si>
  <si>
    <t>CC0603KRX5R7BB475</t>
  </si>
  <si>
    <t>CC0402KRX7R7BB104</t>
  </si>
  <si>
    <t>Cin=1uF</t>
  </si>
  <si>
    <t>Cout=2.2uF</t>
  </si>
  <si>
    <t>R2=160K</t>
  </si>
  <si>
    <t>R1=499K</t>
  </si>
  <si>
    <t>ERJ-2GEJ164X</t>
  </si>
  <si>
    <t>160 kOhms ±5% 0.1W, 1/10W Chip Resistor 0402</t>
  </si>
  <si>
    <t>ATMEGA328P-AUR</t>
  </si>
  <si>
    <t>B3U-1000P</t>
  </si>
  <si>
    <t>ERJ-2GEJ103X</t>
  </si>
  <si>
    <t>10 kOhms ±5% 0.1W, 1/10W Chip Resistor 0402 (1005 Metric)</t>
  </si>
  <si>
    <t>Tactile Switch SPST-NO Top Actuated Surface Mount</t>
  </si>
  <si>
    <t>ECS-200-20-3X-EN-TR</t>
  </si>
  <si>
    <t>20MHz ±30ppm Crystal 20pF 50 Ohms HC-49/US</t>
  </si>
  <si>
    <t>C0805C200J4GAC7800</t>
  </si>
  <si>
    <t>20pF ±5% 16V Ceramic Capacitor C0G, NP0 0805 (2012 Metric)</t>
  </si>
  <si>
    <t>C0402C104Z4VAC7867</t>
  </si>
  <si>
    <t>0.1µF -20%, +80% 16V Ceramic Capacitor Y5V (F) 0402 (1005 Metric)</t>
  </si>
  <si>
    <t>USB-UART IC</t>
  </si>
  <si>
    <t xml:space="preserve">IC USB TO UART BRIDGE QFN24 </t>
  </si>
  <si>
    <t>3MP camera module, wide-angle 110 degrees FOV 2048x1536</t>
  </si>
  <si>
    <t xml:space="preserve">RES SMD 1K OHM 1% 1/16W 0402 </t>
  </si>
  <si>
    <t xml:space="preserve">RES SMD 22.6K OHM 1% 1/16W 0402 </t>
  </si>
  <si>
    <t xml:space="preserve">RES SMD 47K OHM 1% 1/10W 0402 </t>
  </si>
  <si>
    <t xml:space="preserve">CAP CER 0.1UF 16V X7R 0402 </t>
  </si>
  <si>
    <t>USB Connector</t>
  </si>
  <si>
    <t xml:space="preserve">292303-1 </t>
  </si>
  <si>
    <t xml:space="preserve">CONN RCPT USB2.0 TYPEA 4POS R/A </t>
  </si>
  <si>
    <t xml:space="preserve">ES3AB-13-F </t>
  </si>
  <si>
    <t>DIODE GEN PURP 50V 3A SMB</t>
  </si>
  <si>
    <t>Battery Charger IC</t>
  </si>
  <si>
    <t>Quasi-PNP Transistor</t>
  </si>
  <si>
    <t>MJD32CT4G</t>
  </si>
  <si>
    <t xml:space="preserve">TRANS PNP 100V 3A DPAK </t>
  </si>
  <si>
    <t>MJD31CT4G</t>
  </si>
  <si>
    <t>Quasi-NPN Transistor</t>
  </si>
  <si>
    <t xml:space="preserve">TRANS NPN 100V 3A DPAK </t>
  </si>
  <si>
    <t>20 V dc 96dB Panel Mount  Piezo Buzzer</t>
  </si>
  <si>
    <t>Sonar Sensor</t>
  </si>
  <si>
    <t>Regulator IC</t>
  </si>
  <si>
    <t>IC MCU 8BIT 32KB FLASH 32TQFP</t>
  </si>
  <si>
    <t>Crystal Oscillator</t>
  </si>
  <si>
    <t>Tactile Switch</t>
  </si>
  <si>
    <t>Rotary Button</t>
  </si>
  <si>
    <t xml:space="preserve">COM-09032 </t>
  </si>
  <si>
    <t>JOYSTICK 10K OHM 2 AXIS TH</t>
  </si>
  <si>
    <t>CL21B105KBFNNNE</t>
  </si>
  <si>
    <t>CAP CER 1UF 50V X7R 0805</t>
  </si>
  <si>
    <t>CL31A225KBHNNNE</t>
  </si>
  <si>
    <t>CAP CER 2.2UF 50V X5R 1206</t>
  </si>
  <si>
    <t>CL21A106KOQNNNG</t>
  </si>
  <si>
    <t>CAP CER 10UF 16V X5R 0805</t>
  </si>
  <si>
    <t xml:space="preserve">RC1206FR-07499KL </t>
  </si>
  <si>
    <t xml:space="preserve">RES SMD 499K OHM 1% 1/4W 1206 </t>
  </si>
  <si>
    <t xml:space="preserve">RC0402FR-07442RL </t>
  </si>
  <si>
    <t xml:space="preserve">RES SMD 442 OHM 1% 1/16W 0402 </t>
  </si>
  <si>
    <t>CAP CER 0.1UF 16V Y5V 0402</t>
  </si>
  <si>
    <t>Motor Driver Module</t>
  </si>
  <si>
    <t>Servo Motor Driver Module</t>
  </si>
  <si>
    <t>AliExpress</t>
  </si>
  <si>
    <t>ERJ-8BWJR082V</t>
  </si>
  <si>
    <t xml:space="preserve">RES 0.082 OHM 5% 1W 1206 </t>
  </si>
  <si>
    <r>
      <t>R</t>
    </r>
    <r>
      <rPr>
        <sz val="6"/>
        <color theme="1"/>
        <rFont val="Calibri"/>
        <family val="2"/>
        <scheme val="minor"/>
      </rPr>
      <t>ISNS</t>
    </r>
  </si>
  <si>
    <t xml:space="preserve">ERJ-2RKF4642X </t>
  </si>
  <si>
    <t xml:space="preserve">RES SMD 46.4K OHM 1% 1/10W 0402 </t>
  </si>
  <si>
    <r>
      <t>R</t>
    </r>
    <r>
      <rPr>
        <sz val="6"/>
        <color theme="1"/>
        <rFont val="Calibri"/>
        <family val="2"/>
        <scheme val="minor"/>
      </rPr>
      <t>C</t>
    </r>
  </si>
  <si>
    <t xml:space="preserve">ERJ-2RKF4753X </t>
  </si>
  <si>
    <t xml:space="preserve">RES SMD 475K OHM 1% 1/10W 0402 </t>
  </si>
  <si>
    <r>
      <t>R</t>
    </r>
    <r>
      <rPr>
        <sz val="6"/>
        <color theme="1"/>
        <rFont val="Calibri"/>
        <family val="2"/>
        <scheme val="minor"/>
      </rPr>
      <t>D</t>
    </r>
  </si>
  <si>
    <t xml:space="preserve">RC0402FR-0716K9L </t>
  </si>
  <si>
    <t xml:space="preserve">RES SMD 16.9K OHM 1% 1/16W 0402 </t>
  </si>
  <si>
    <r>
      <t>R</t>
    </r>
    <r>
      <rPr>
        <sz val="6"/>
        <color theme="1"/>
        <rFont val="Calibri"/>
        <family val="2"/>
        <scheme val="minor"/>
      </rPr>
      <t>B</t>
    </r>
  </si>
  <si>
    <r>
      <t>R</t>
    </r>
    <r>
      <rPr>
        <sz val="6"/>
        <color theme="1"/>
        <rFont val="Calibri"/>
        <family val="2"/>
        <scheme val="minor"/>
      </rPr>
      <t>A</t>
    </r>
  </si>
  <si>
    <t xml:space="preserve">RC0603FR-07162KL </t>
  </si>
  <si>
    <t xml:space="preserve">RES SMD 162K OHM 1% 1/10W 0603 </t>
  </si>
  <si>
    <t xml:space="preserve">RES SMD 10K OHM 5% 1/20W 0201 </t>
  </si>
  <si>
    <t>RC0201JR-0710KL</t>
  </si>
  <si>
    <r>
      <t>R</t>
    </r>
    <r>
      <rPr>
        <sz val="6"/>
        <color theme="1"/>
        <rFont val="Calibri"/>
        <family val="2"/>
        <scheme val="minor"/>
      </rPr>
      <t>P</t>
    </r>
  </si>
  <si>
    <r>
      <t>C</t>
    </r>
    <r>
      <rPr>
        <sz val="6"/>
        <color theme="1"/>
        <rFont val="Calibri"/>
        <family val="2"/>
        <scheme val="minor"/>
      </rPr>
      <t>IN</t>
    </r>
  </si>
  <si>
    <t>Mating Header</t>
  </si>
  <si>
    <t xml:space="preserve">95278-101A06LF </t>
  </si>
  <si>
    <t xml:space="preserve">CONN HEADER SMD 6POS 2.54MM </t>
  </si>
  <si>
    <t>Night Lamps</t>
  </si>
  <si>
    <t>2PCS 18w Spot Driving Fog Light </t>
  </si>
  <si>
    <t>DC1C-A1AA</t>
  </si>
  <si>
    <t>Switch SPDT Chassis Mount</t>
  </si>
  <si>
    <t>Battery</t>
  </si>
  <si>
    <t>ML18-12</t>
  </si>
  <si>
    <t>12V 18AH Sealed Lead Acid (SLA) rechargeable battery.</t>
  </si>
  <si>
    <t>2.4GHz Standard ISM Tranceiver Module with antenna</t>
  </si>
  <si>
    <t>USB MUX IC</t>
  </si>
  <si>
    <t>Switch / Impact Sensor</t>
  </si>
  <si>
    <t xml:space="preserve">IC USB SWITCH 2X2 10MSOP </t>
  </si>
  <si>
    <t xml:space="preserve">FSUSB30MUX </t>
  </si>
  <si>
    <t>Emergency Switch</t>
  </si>
  <si>
    <t>100SP1T1B4M2QE</t>
  </si>
  <si>
    <t xml:space="preserve">SWITCH TOGGLE SPDT 5A 120V </t>
  </si>
  <si>
    <t>Status Light</t>
  </si>
  <si>
    <t xml:space="preserve">C5SMF-RJF-CT0W0BB2 </t>
  </si>
  <si>
    <t xml:space="preserve">LED RED CLEAR 5MM OVAL T/H </t>
  </si>
  <si>
    <t>Communication Light</t>
  </si>
  <si>
    <t xml:space="preserve">C5SMF-GJF-CV0Y0792 </t>
  </si>
  <si>
    <t xml:space="preserve">LED GREEN CLEAR 5MM OVAL T/H </t>
  </si>
  <si>
    <t>LCD Screen</t>
  </si>
  <si>
    <t>DMG80480C070_03W</t>
  </si>
  <si>
    <t>7Inch Serial TFT Display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</si>
</sst>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7" formatCode="&quot;$&quot;#,##0.00_);\(&quot;$&quot;#,##0.00\)"/>
    <numFmt numFmtId="8" formatCode="&quot;$&quot;#,##0.00_);[Red]\(&quot;$&quot;#,##0.00\)"/>
  </numFmts>
  <fonts count="11">
    <font>
      <sz val="11"/>
      <color theme="1"/>
      <name val="Calibri"/>
      <family val="2"/>
      <scheme val="minor"/>
    </font>
    <font>
      <u/>
      <sz val="11"/>
      <color theme="10"/>
      <name val="Calibri"/>
      <family val="2"/>
      <scheme val="minor"/>
    </font>
    <font>
      <b/>
      <sz val="11"/>
      <color theme="0"/>
      <name val="Calibri"/>
      <family val="2"/>
      <scheme val="minor"/>
    </font>
    <font>
      <u/>
      <sz val="11"/>
      <color theme="4" tint="-0.249977111117893"/>
      <name val="Calibri"/>
      <family val="2"/>
      <scheme val="minor"/>
    </font>
    <font>
      <sz val="6"/>
      <color theme="1"/>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sz val="11"/>
      <name val="Calibri"/>
      <scheme val="minor"/>
    </font>
    <font>
      <u/>
      <sz val="11"/>
      <color theme="10"/>
      <name val="Calibri"/>
      <scheme val="minor"/>
    </font>
  </fonts>
  <fills count="4">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applyNumberFormat="0" applyFill="0" applyBorder="0" applyAlignment="0" applyProtection="0"/>
  </cellStyleXfs>
  <cellXfs count="76">
    <xf numFmtId="0" fontId="0" fillId="0" borderId="0" xfId="0"/>
    <xf numFmtId="0" fontId="0" fillId="0" borderId="0" xfId="0" applyAlignment="1">
      <alignment horizontal="center"/>
    </xf>
    <xf numFmtId="0" fontId="0" fillId="0" borderId="0" xfId="0" applyAlignment="1">
      <alignment horizontal="center" vertical="center"/>
    </xf>
    <xf numFmtId="7" fontId="0" fillId="0" borderId="0" xfId="0" applyNumberFormat="1" applyAlignment="1">
      <alignment horizontal="center" vertical="center"/>
    </xf>
    <xf numFmtId="39"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NumberFormat="1"/>
    <xf numFmtId="0" fontId="0" fillId="0" borderId="3" xfId="0" applyBorder="1"/>
    <xf numFmtId="0" fontId="0" fillId="0" borderId="3" xfId="0" applyBorder="1" applyAlignment="1">
      <alignment horizontal="center" vertical="center"/>
    </xf>
    <xf numFmtId="0" fontId="0" fillId="0" borderId="4" xfId="0" applyBorder="1"/>
    <xf numFmtId="0" fontId="0" fillId="0" borderId="1" xfId="0" applyBorder="1"/>
    <xf numFmtId="0" fontId="0" fillId="0" borderId="1" xfId="0" applyBorder="1" applyAlignment="1">
      <alignment horizontal="center" vertical="center"/>
    </xf>
    <xf numFmtId="0" fontId="1" fillId="0" borderId="1" xfId="1" applyBorder="1" applyAlignment="1">
      <alignment horizontal="center" vertical="center"/>
    </xf>
    <xf numFmtId="7" fontId="0" fillId="0" borderId="1" xfId="0" applyNumberFormat="1" applyBorder="1" applyAlignment="1">
      <alignment horizontal="center" vertical="center"/>
    </xf>
    <xf numFmtId="0" fontId="0" fillId="0" borderId="1" xfId="0" applyNumberFormat="1" applyBorder="1" applyAlignment="1">
      <alignment horizontal="center" vertical="center"/>
    </xf>
    <xf numFmtId="0" fontId="0" fillId="0" borderId="6" xfId="0" applyBorder="1"/>
    <xf numFmtId="0" fontId="0" fillId="0" borderId="8" xfId="0" applyBorder="1"/>
    <xf numFmtId="0" fontId="0" fillId="0" borderId="8" xfId="0" applyBorder="1" applyAlignment="1">
      <alignment horizontal="center" vertical="center"/>
    </xf>
    <xf numFmtId="0" fontId="1" fillId="0" borderId="8" xfId="1" applyBorder="1" applyAlignment="1">
      <alignment horizontal="center" vertical="center"/>
    </xf>
    <xf numFmtId="7" fontId="0" fillId="0" borderId="8" xfId="0" applyNumberFormat="1" applyBorder="1" applyAlignment="1">
      <alignment horizontal="center" vertical="center"/>
    </xf>
    <xf numFmtId="0" fontId="0" fillId="0" borderId="8" xfId="0" applyNumberFormat="1" applyBorder="1" applyAlignment="1">
      <alignment horizontal="center" vertical="center"/>
    </xf>
    <xf numFmtId="0" fontId="0" fillId="0" borderId="9" xfId="0" applyBorder="1"/>
    <xf numFmtId="0" fontId="2" fillId="2" borderId="3"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lef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left" vertical="center"/>
    </xf>
    <xf numFmtId="0" fontId="0" fillId="0" borderId="6" xfId="0" applyBorder="1" applyAlignment="1">
      <alignment horizontal="center" vertical="center"/>
    </xf>
    <xf numFmtId="0" fontId="3" fillId="0" borderId="1"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left" vertical="center"/>
    </xf>
    <xf numFmtId="0" fontId="3" fillId="0" borderId="8" xfId="0" applyFont="1" applyBorder="1" applyAlignment="1">
      <alignment horizontal="center" vertical="center"/>
    </xf>
    <xf numFmtId="0" fontId="0" fillId="0" borderId="9" xfId="0"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left" vertical="center"/>
    </xf>
    <xf numFmtId="0" fontId="2" fillId="2" borderId="4" xfId="0" applyFont="1" applyFill="1" applyBorder="1" applyAlignment="1">
      <alignment horizontal="center" vertical="center"/>
    </xf>
    <xf numFmtId="0" fontId="0" fillId="0" borderId="7" xfId="0" applyFill="1" applyBorder="1" applyAlignment="1">
      <alignment horizontal="center" vertical="center"/>
    </xf>
    <xf numFmtId="0" fontId="0" fillId="0" borderId="8" xfId="0" applyFill="1" applyBorder="1" applyAlignment="1">
      <alignment horizontal="left" vertical="center"/>
    </xf>
    <xf numFmtId="0" fontId="0" fillId="0" borderId="8" xfId="0" applyFill="1" applyBorder="1" applyAlignment="1">
      <alignment horizontal="center" vertical="center"/>
    </xf>
    <xf numFmtId="7" fontId="0" fillId="0" borderId="8" xfId="0" applyNumberFormat="1" applyFill="1" applyBorder="1" applyAlignment="1">
      <alignment horizontal="center" vertical="center"/>
    </xf>
    <xf numFmtId="0" fontId="0" fillId="0" borderId="9" xfId="0" applyFill="1" applyBorder="1" applyAlignment="1">
      <alignment horizontal="center" vertical="center"/>
    </xf>
    <xf numFmtId="0" fontId="1" fillId="0" borderId="8" xfId="1" applyFill="1" applyBorder="1" applyAlignment="1">
      <alignment horizontal="center" vertical="center"/>
    </xf>
    <xf numFmtId="8" fontId="0" fillId="0" borderId="1" xfId="0" applyNumberFormat="1" applyBorder="1" applyAlignment="1">
      <alignment horizontal="center" vertical="center"/>
    </xf>
    <xf numFmtId="8" fontId="0" fillId="0" borderId="8" xfId="0" applyNumberFormat="1" applyBorder="1" applyAlignment="1">
      <alignment horizontal="center" vertical="center"/>
    </xf>
    <xf numFmtId="0" fontId="0" fillId="0" borderId="1" xfId="0" applyBorder="1" applyAlignment="1">
      <alignment horizontal="left" vertical="center" wrapText="1"/>
    </xf>
    <xf numFmtId="0" fontId="0" fillId="3" borderId="5" xfId="0" applyFont="1" applyFill="1" applyBorder="1" applyAlignment="1">
      <alignment horizontal="center" vertical="center"/>
    </xf>
    <xf numFmtId="0" fontId="0" fillId="3" borderId="1" xfId="0" applyFont="1" applyFill="1" applyBorder="1" applyAlignment="1">
      <alignment horizontal="center" vertical="center"/>
    </xf>
    <xf numFmtId="8" fontId="0" fillId="0" borderId="1" xfId="0" applyNumberFormat="1" applyFont="1" applyBorder="1" applyAlignment="1">
      <alignment horizontal="center" vertical="center"/>
    </xf>
    <xf numFmtId="0" fontId="0" fillId="3" borderId="6" xfId="0" applyFont="1" applyFill="1" applyBorder="1"/>
    <xf numFmtId="0" fontId="0" fillId="0" borderId="1" xfId="0" applyBorder="1" applyAlignment="1">
      <alignment horizontal="left" wrapText="1"/>
    </xf>
    <xf numFmtId="0" fontId="0" fillId="0" borderId="1" xfId="0" applyBorder="1" applyAlignment="1">
      <alignment horizontal="left"/>
    </xf>
    <xf numFmtId="0" fontId="0" fillId="0" borderId="1" xfId="0" applyFill="1" applyBorder="1" applyAlignment="1">
      <alignment horizontal="left" vertical="center"/>
    </xf>
    <xf numFmtId="0" fontId="0" fillId="0" borderId="1" xfId="0" applyBorder="1" applyAlignment="1">
      <alignment horizontal="center" vertical="center" wrapText="1"/>
    </xf>
    <xf numFmtId="7" fontId="0" fillId="3" borderId="1" xfId="0" applyNumberFormat="1" applyFont="1" applyFill="1" applyBorder="1" applyAlignment="1">
      <alignment horizontal="center" vertical="center"/>
    </xf>
    <xf numFmtId="0" fontId="2" fillId="2" borderId="3" xfId="0" applyFont="1" applyFill="1" applyBorder="1"/>
    <xf numFmtId="0" fontId="2" fillId="2" borderId="4" xfId="0" applyFont="1" applyFill="1" applyBorder="1"/>
    <xf numFmtId="0" fontId="0" fillId="3" borderId="1" xfId="0" applyFont="1" applyFill="1" applyBorder="1"/>
    <xf numFmtId="0" fontId="0" fillId="3" borderId="1" xfId="0" applyNumberFormat="1" applyFont="1" applyFill="1" applyBorder="1" applyAlignment="1">
      <alignment horizontal="center" vertical="center"/>
    </xf>
    <xf numFmtId="7" fontId="0" fillId="3" borderId="8" xfId="0" applyNumberFormat="1" applyFont="1" applyFill="1" applyBorder="1" applyAlignment="1">
      <alignment horizontal="center" vertical="center"/>
    </xf>
    <xf numFmtId="0" fontId="1" fillId="3" borderId="1" xfId="1" applyFill="1" applyBorder="1" applyAlignment="1">
      <alignment horizontal="center" vertical="center"/>
    </xf>
    <xf numFmtId="7" fontId="0" fillId="0" borderId="6" xfId="0" applyNumberFormat="1" applyBorder="1" applyAlignment="1">
      <alignment horizontal="center" vertical="center"/>
    </xf>
    <xf numFmtId="0" fontId="0" fillId="0" borderId="7" xfId="0" applyBorder="1"/>
    <xf numFmtId="8" fontId="0" fillId="0" borderId="0" xfId="0" applyNumberFormat="1"/>
    <xf numFmtId="0" fontId="0" fillId="0" borderId="8" xfId="0" applyBorder="1" applyAlignment="1">
      <alignment horizontal="left" vertical="center" wrapText="1"/>
    </xf>
    <xf numFmtId="0" fontId="0" fillId="0" borderId="8" xfId="0" applyBorder="1" applyAlignment="1">
      <alignment horizontal="left"/>
    </xf>
    <xf numFmtId="8" fontId="0" fillId="0" borderId="8" xfId="0" applyNumberFormat="1" applyBorder="1"/>
    <xf numFmtId="7" fontId="0" fillId="0" borderId="8" xfId="0" applyNumberFormat="1" applyBorder="1"/>
    <xf numFmtId="0" fontId="0" fillId="0" borderId="0" xfId="0" applyBorder="1"/>
    <xf numFmtId="0" fontId="0" fillId="0" borderId="5" xfId="0" applyFill="1" applyBorder="1" applyAlignment="1">
      <alignment horizontal="center" vertical="center"/>
    </xf>
    <xf numFmtId="0" fontId="0" fillId="0" borderId="1" xfId="0" applyFill="1" applyBorder="1" applyAlignment="1">
      <alignment horizontal="center" vertical="center"/>
    </xf>
    <xf numFmtId="7" fontId="0" fillId="0" borderId="1" xfId="0" applyNumberFormat="1" applyFill="1" applyBorder="1" applyAlignment="1">
      <alignment horizontal="center" vertical="center"/>
    </xf>
    <xf numFmtId="0" fontId="0" fillId="0" borderId="6" xfId="0" applyFill="1" applyBorder="1" applyAlignment="1">
      <alignment horizontal="center" vertical="center"/>
    </xf>
    <xf numFmtId="0" fontId="1" fillId="0" borderId="1" xfId="1" applyFill="1" applyBorder="1" applyAlignment="1">
      <alignment horizontal="center" vertical="center"/>
    </xf>
    <xf numFmtId="0" fontId="9" fillId="0" borderId="8" xfId="0" applyFont="1" applyBorder="1" applyAlignment="1">
      <alignment horizontal="left" vertical="center"/>
    </xf>
    <xf numFmtId="0" fontId="10" fillId="0" borderId="8" xfId="0" applyFont="1" applyBorder="1" applyAlignment="1">
      <alignment horizontal="center" vertical="center"/>
    </xf>
  </cellXfs>
  <cellStyles count="2">
    <cellStyle name="Hyperlink" xfId="1" builtinId="8"/>
    <cellStyle name="Normal" xfId="0" builtinId="0"/>
  </cellStyles>
  <dxfs count="155">
    <dxf>
      <border diagonalUp="0" diagonalDown="0" outline="0">
        <left style="thin">
          <color indexed="64"/>
        </left>
        <right/>
        <top style="thin">
          <color indexed="64"/>
        </top>
        <bottom/>
      </border>
    </dxf>
    <dxf>
      <numFmt numFmtId="12" formatCode="&quot;$&quot;#,##0.00_);[Red]\(&quot;$&quot;#,##0.0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right style="thin">
          <color indexed="64"/>
        </right>
        <top style="thin">
          <color indexed="64"/>
        </top>
        <bottom/>
      </border>
    </dxf>
    <dxf>
      <border diagonalUp="0" diagonalDown="0" outline="0">
        <left style="thin">
          <color indexed="64"/>
        </left>
        <right/>
        <top style="thin">
          <color indexed="64"/>
        </top>
        <bottom/>
      </border>
    </dxf>
    <dxf>
      <numFmt numFmtId="12" formatCode="&quot;$&quot;#,##0.00_);[Red]\(&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2" formatCode="&quot;$&quot;#,##0.00_);[Red]\(&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right style="thin">
          <color indexed="64"/>
        </right>
        <top style="thin">
          <color indexed="64"/>
        </top>
        <bottom/>
      </border>
    </dxf>
    <dxf>
      <border diagonalUp="0" diagonalDown="0" outline="0">
        <left style="thin">
          <color indexed="64"/>
        </left>
        <right/>
        <top style="thin">
          <color indexed="64"/>
        </top>
        <bottom/>
      </border>
    </dxf>
    <dxf>
      <numFmt numFmtId="11" formatCode="&quot;$&quot;#,##0.00_);\(&quot;$&quot;#,##0.00\)"/>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right style="thin">
          <color indexed="64"/>
        </right>
        <top style="thin">
          <color indexed="64"/>
        </top>
        <bottom/>
      </border>
    </dxf>
    <dxf>
      <border diagonalUp="0" diagonalDown="0" outline="0">
        <left style="thin">
          <color indexed="64"/>
        </left>
        <right/>
        <top style="thin">
          <color indexed="64"/>
        </top>
        <bottom/>
      </border>
    </dxf>
    <dxf>
      <numFmt numFmtId="12" formatCode="&quot;$&quot;#,##0.00_);[Red]\(&quot;$&quot;#,##0.0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2" formatCode="&quot;$&quot;#,##0.00_);[Red]\(&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ertAlign val="baseline"/>
        <sz val="11"/>
        <color theme="10"/>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top style="thin">
          <color indexed="64"/>
        </top>
        <bottom/>
      </border>
    </dxf>
    <dxf>
      <numFmt numFmtId="12" formatCode="&quot;$&quot;#,##0.00_);[Red]\(&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2" formatCode="&quot;$&quot;#,##0.00_);[Red]\(&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right style="thin">
          <color indexed="64"/>
        </right>
        <top style="thin">
          <color indexed="64"/>
        </top>
        <bottom/>
      </border>
    </dxf>
    <dxf>
      <border diagonalUp="0" diagonalDown="0" outline="0">
        <left style="thin">
          <color indexed="64"/>
        </left>
        <right/>
        <top style="thin">
          <color indexed="64"/>
        </top>
        <bottom/>
      </border>
    </dxf>
    <dxf>
      <numFmt numFmtId="11" formatCode="&quot;$&quot;#,##0.00_);\(&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1" formatCode="&quot;$&quot;#,##0.00_);\(&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right style="thin">
          <color indexed="64"/>
        </right>
        <top style="thin">
          <color indexed="64"/>
        </top>
        <bottom/>
      </border>
    </dxf>
    <dxf>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style="thin">
          <color indexed="64"/>
        </top>
        <bottom/>
      </border>
    </dxf>
    <dxf>
      <numFmt numFmtId="11" formatCode="&quot;$&quot;#,##0.00_);\(&quot;$&quot;#,##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1" formatCode="&quot;$&quot;#,##0.00_);\(&quot;$&quot;#,##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2" formatCode="&quot;$&quot;#,##0.00_);[Red]\(&quot;$&quot;#,##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2" formatCode="&quot;$&quot;#,##0.00_);[Red]\(&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2" formatCode="&quot;$&quot;#,##0.00_);[Red]\(&quot;$&quot;#,##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1" formatCode="&quot;$&quot;#,##0.00_);\(&quot;$&quot;#,##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1" formatCode="&quot;$&quot;#,##0.00_);\(&quot;$&quot;#,##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1" formatCode="&quot;$&quot;#,##0.00_);\(&quot;$&quot;#,##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1" formatCode="&quot;$&quot;#,##0.00_);\(&quot;$&quot;#,##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521003</xdr:colOff>
      <xdr:row>14</xdr:row>
      <xdr:rowOff>155275</xdr:rowOff>
    </xdr:from>
    <xdr:to>
      <xdr:col>3</xdr:col>
      <xdr:colOff>2448135</xdr:colOff>
      <xdr:row>31</xdr:row>
      <xdr:rowOff>44068</xdr:rowOff>
    </xdr:to>
    <xdr:pic>
      <xdr:nvPicPr>
        <xdr:cNvPr id="2" name="Picture 1">
          <a:extLst>
            <a:ext uri="{FF2B5EF4-FFF2-40B4-BE49-F238E27FC236}">
              <a16:creationId xmlns:a16="http://schemas.microsoft.com/office/drawing/2014/main" id="{76D14B42-6545-47D5-BEEE-0D77A6F32227}"/>
            </a:ext>
          </a:extLst>
        </xdr:cNvPr>
        <xdr:cNvPicPr>
          <a:picLocks noChangeAspect="1"/>
        </xdr:cNvPicPr>
      </xdr:nvPicPr>
      <xdr:blipFill>
        <a:blip xmlns:r="http://schemas.openxmlformats.org/officeDocument/2006/relationships" r:embed="rId1"/>
        <a:stretch>
          <a:fillRect/>
        </a:stretch>
      </xdr:blipFill>
      <xdr:spPr>
        <a:xfrm>
          <a:off x="952324" y="2691441"/>
          <a:ext cx="5377698" cy="2968423"/>
        </a:xfrm>
        <a:prstGeom prst="rect">
          <a:avLst/>
        </a:prstGeom>
        <a:ln w="12700">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1509622</xdr:colOff>
      <xdr:row>8</xdr:row>
      <xdr:rowOff>8626</xdr:rowOff>
    </xdr:from>
    <xdr:to>
      <xdr:col>13</xdr:col>
      <xdr:colOff>293297</xdr:colOff>
      <xdr:row>78</xdr:row>
      <xdr:rowOff>146649</xdr:rowOff>
    </xdr:to>
    <xdr:pic>
      <xdr:nvPicPr>
        <xdr:cNvPr id="2" name="Picture 1" descr="XZ0033B ASME-04B Servo (6)">
          <a:extLst>
            <a:ext uri="{FF2B5EF4-FFF2-40B4-BE49-F238E27FC236}">
              <a16:creationId xmlns:a16="http://schemas.microsoft.com/office/drawing/2014/main" id="{50571968-3958-4377-9D1E-6473FFBBDD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0241" y="1457864"/>
          <a:ext cx="7617124" cy="128188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18893</xdr:colOff>
      <xdr:row>22</xdr:row>
      <xdr:rowOff>163901</xdr:rowOff>
    </xdr:from>
    <xdr:to>
      <xdr:col>7</xdr:col>
      <xdr:colOff>609598</xdr:colOff>
      <xdr:row>47</xdr:row>
      <xdr:rowOff>13152</xdr:rowOff>
    </xdr:to>
    <xdr:pic>
      <xdr:nvPicPr>
        <xdr:cNvPr id="2" name="Picture 1">
          <a:extLst>
            <a:ext uri="{FF2B5EF4-FFF2-40B4-BE49-F238E27FC236}">
              <a16:creationId xmlns:a16="http://schemas.microsoft.com/office/drawing/2014/main" id="{D4F1A6EA-850D-4DC3-9E6B-A632A1E2E27C}"/>
            </a:ext>
          </a:extLst>
        </xdr:cNvPr>
        <xdr:cNvPicPr>
          <a:picLocks noChangeAspect="1"/>
        </xdr:cNvPicPr>
      </xdr:nvPicPr>
      <xdr:blipFill>
        <a:blip xmlns:r="http://schemas.openxmlformats.org/officeDocument/2006/relationships" r:embed="rId1"/>
        <a:stretch>
          <a:fillRect/>
        </a:stretch>
      </xdr:blipFill>
      <xdr:spPr>
        <a:xfrm>
          <a:off x="4142319" y="3605841"/>
          <a:ext cx="7284804" cy="4378119"/>
        </a:xfrm>
        <a:prstGeom prst="rect">
          <a:avLst/>
        </a:prstGeom>
        <a:ln w="9525">
          <a:solidFill>
            <a:schemeClr val="tx1"/>
          </a:solidFill>
        </a:ln>
      </xdr:spPr>
    </xdr:pic>
    <xdr:clientData/>
  </xdr:twoCellAnchor>
</xdr:wsDr>
</file>

<file path=xl/tables/table1.xml><?xml version="1.0" encoding="utf-8"?>
<table xmlns="http://schemas.openxmlformats.org/spreadsheetml/2006/main" id="11" name="Table11" displayName="Table11" ref="A1:I11" totalsRowCount="1" headerRowDxfId="154" dataDxfId="152" headerRowBorderDxfId="153" tableBorderDxfId="151" totalsRowBorderDxfId="150" headerRowCellStyle="Normal" dataCellStyle="Normal">
  <tableColumns count="9">
    <tableColumn id="1" name="S.No" dataDxfId="149" totalsRowDxfId="62" dataCellStyle="Normal"/>
    <tableColumn id="2" name="Component Name" dataDxfId="148" totalsRowDxfId="61" dataCellStyle="Normal"/>
    <tableColumn id="3" name="Mfp Part Number" dataDxfId="147" totalsRowDxfId="60" dataCellStyle="Normal"/>
    <tableColumn id="4" name="Description" dataDxfId="146" totalsRowDxfId="59" dataCellStyle="Normal"/>
    <tableColumn id="5" name="Supplier Ref" dataDxfId="145" totalsRowDxfId="58" dataCellStyle="Normal"/>
    <tableColumn id="6" name="Unit Cost" dataDxfId="144" totalsRowDxfId="57" dataCellStyle="Normal"/>
    <tableColumn id="7" name="Qty" dataDxfId="143" totalsRowDxfId="56" dataCellStyle="Normal"/>
    <tableColumn id="8" name="Total Cost" totalsRowFunction="custom" dataDxfId="142" totalsRowDxfId="55" dataCellStyle="Normal">
      <calculatedColumnFormula>G2*F2</calculatedColumnFormula>
      <totalsRowFormula>SUM(H2:H10)</totalsRowFormula>
    </tableColumn>
    <tableColumn id="9" name="Remarks" dataDxfId="141" totalsRowDxfId="54" dataCellStyle="Normal"/>
  </tableColumns>
  <tableStyleInfo name="TableStyleMedium9" showFirstColumn="0" showLastColumn="0" showRowStripes="1" showColumnStripes="0"/>
</table>
</file>

<file path=xl/tables/table2.xml><?xml version="1.0" encoding="utf-8"?>
<table xmlns="http://schemas.openxmlformats.org/spreadsheetml/2006/main" id="1" name="Table1" displayName="Table1" ref="A1:I11" totalsRowCount="1" headerRowDxfId="140" dataDxfId="138" headerRowBorderDxfId="139" tableBorderDxfId="137" totalsRowBorderDxfId="136">
  <tableColumns count="9">
    <tableColumn id="1" name="S.No" dataDxfId="135" totalsRowDxfId="53"/>
    <tableColumn id="2" name="Component Name" dataDxfId="134" totalsRowDxfId="52"/>
    <tableColumn id="3" name="Mfp Part Number" dataDxfId="133" totalsRowDxfId="51"/>
    <tableColumn id="4" name="Description" dataDxfId="132" totalsRowDxfId="50"/>
    <tableColumn id="5" name="Supplier Ref" dataDxfId="131" totalsRowDxfId="49" dataCellStyle="Hyperlink"/>
    <tableColumn id="6" name="Unit Cost" dataDxfId="130" totalsRowDxfId="48"/>
    <tableColumn id="7" name="Qty" dataDxfId="129" totalsRowDxfId="47"/>
    <tableColumn id="8" name="Total Cost" totalsRowFunction="custom" dataDxfId="128" totalsRowDxfId="46">
      <calculatedColumnFormula>G2*F2</calculatedColumnFormula>
      <totalsRowFormula>SUM(H2:H10)</totalsRowFormula>
    </tableColumn>
    <tableColumn id="9" name="Remarks" dataDxfId="127" totalsRowDxfId="45"/>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A1:I15" totalsRowCount="1" headerRowDxfId="126" headerRowBorderDxfId="125" tableBorderDxfId="124" totalsRowBorderDxfId="123">
  <tableColumns count="9">
    <tableColumn id="1" name="S.No" dataDxfId="122" totalsRowDxfId="44"/>
    <tableColumn id="2" name="Component Name" dataDxfId="121" totalsRowDxfId="43"/>
    <tableColumn id="3" name="Mfp Part Number" dataDxfId="120" totalsRowDxfId="42"/>
    <tableColumn id="4" name="Description" dataDxfId="119" totalsRowDxfId="41"/>
    <tableColumn id="5" name="Supplier Ref" dataDxfId="118" totalsRowDxfId="40" dataCellStyle="Hyperlink"/>
    <tableColumn id="6" name="Unit Cost" dataDxfId="117" totalsRowDxfId="39"/>
    <tableColumn id="7" name="Qty" dataDxfId="116" totalsRowDxfId="38"/>
    <tableColumn id="8" name="Total Cost" totalsRowFunction="custom" dataDxfId="115" totalsRowDxfId="37">
      <calculatedColumnFormula>Table3[[#This Row],[Qty]]*Table3[[#This Row],[Unit Cost]]</calculatedColumnFormula>
      <totalsRowFormula>SUM(H2:H14)</totalsRowFormula>
    </tableColumn>
    <tableColumn id="9" name="Remarks" dataDxfId="114" totalsRowDxfId="36"/>
  </tableColumns>
  <tableStyleInfo name="TableStyleMedium9" showFirstColumn="0" showLastColumn="0" showRowStripes="1" showColumnStripes="0"/>
</table>
</file>

<file path=xl/tables/table4.xml><?xml version="1.0" encoding="utf-8"?>
<table xmlns="http://schemas.openxmlformats.org/spreadsheetml/2006/main" id="6" name="Table6" displayName="Table6" ref="A1:I8" totalsRowCount="1" headerRowDxfId="113" headerRowBorderDxfId="112" tableBorderDxfId="111" totalsRowBorderDxfId="110">
  <tableColumns count="9">
    <tableColumn id="1" name="S.No" dataDxfId="109" totalsRowDxfId="35"/>
    <tableColumn id="2" name="Component Name" totalsRowDxfId="34"/>
    <tableColumn id="3" name="Mfp Part Number" dataDxfId="108" totalsRowDxfId="33"/>
    <tableColumn id="4" name="Description" dataDxfId="107" totalsRowDxfId="32"/>
    <tableColumn id="5" name="Supplier Ref" dataDxfId="106" totalsRowDxfId="31" dataCellStyle="Hyperlink"/>
    <tableColumn id="6" name="Unit Cost" dataDxfId="105" totalsRowDxfId="30"/>
    <tableColumn id="7" name="Qty" dataDxfId="104" totalsRowDxfId="29"/>
    <tableColumn id="8" name="Total Cost" totalsRowFunction="custom" dataDxfId="103" totalsRowDxfId="28">
      <totalsRowFormula>SUM(H2:H7)</totalsRowFormula>
    </tableColumn>
    <tableColumn id="9" name="Remarks" dataDxfId="102" totalsRowDxfId="27"/>
  </tableColumns>
  <tableStyleInfo name="TableStyleMedium9" showFirstColumn="0" showLastColumn="0" showRowStripes="1" showColumnStripes="0"/>
</table>
</file>

<file path=xl/tables/table5.xml><?xml version="1.0" encoding="utf-8"?>
<table xmlns="http://schemas.openxmlformats.org/spreadsheetml/2006/main" id="2" name="Table2" displayName="Table2" ref="A1:I5" totalsRowCount="1" headerRowDxfId="101" headerRowBorderDxfId="100" tableBorderDxfId="99" totalsRowBorderDxfId="98">
  <tableColumns count="9">
    <tableColumn id="1" name="S.No" dataDxfId="97" totalsRowDxfId="26"/>
    <tableColumn id="2" name="Component Name" dataDxfId="96" totalsRowDxfId="25"/>
    <tableColumn id="3" name="Mfp Part Number" dataDxfId="95" totalsRowDxfId="24"/>
    <tableColumn id="4" name="Description" dataDxfId="94" totalsRowDxfId="23"/>
    <tableColumn id="5" name="Supplier Ref" dataDxfId="93" totalsRowDxfId="22"/>
    <tableColumn id="6" name="Unit Cost" dataDxfId="92" totalsRowDxfId="21"/>
    <tableColumn id="7" name="Qty" dataDxfId="91" totalsRowDxfId="20"/>
    <tableColumn id="8" name="Total Cost" totalsRowFunction="custom" dataDxfId="90" totalsRowDxfId="19">
      <calculatedColumnFormula>G2*F2</calculatedColumnFormula>
      <totalsRowFormula>SUM(H2:H4)</totalsRowFormula>
    </tableColumn>
    <tableColumn id="9" name="Remarks" dataDxfId="89" totalsRowDxfId="18"/>
  </tableColumns>
  <tableStyleInfo name="TableStyleMedium9" showFirstColumn="0" showLastColumn="0" showRowStripes="1" showColumnStripes="0"/>
</table>
</file>

<file path=xl/tables/table6.xml><?xml version="1.0" encoding="utf-8"?>
<table xmlns="http://schemas.openxmlformats.org/spreadsheetml/2006/main" id="9" name="Table9" displayName="Table9" ref="A1:I9" totalsRowCount="1" headerRowDxfId="88" headerRowBorderDxfId="87" tableBorderDxfId="86" totalsRowBorderDxfId="85">
  <tableColumns count="9">
    <tableColumn id="1" name="S.No" dataDxfId="84" totalsRowDxfId="17"/>
    <tableColumn id="2" name="Component Name" dataDxfId="83" totalsRowDxfId="16"/>
    <tableColumn id="3" name="Mfp Part Number" dataDxfId="82" totalsRowDxfId="15"/>
    <tableColumn id="4" name="Description" dataDxfId="81" totalsRowDxfId="14"/>
    <tableColumn id="5" name="Supplier Ref" dataDxfId="80" totalsRowDxfId="13" dataCellStyle="Hyperlink"/>
    <tableColumn id="6" name="Unit Cost" dataDxfId="79" totalsRowDxfId="12"/>
    <tableColumn id="7" name="Qty" dataDxfId="78" totalsRowDxfId="11"/>
    <tableColumn id="8" name="Total Cost" totalsRowFunction="custom" dataDxfId="77" totalsRowDxfId="10">
      <calculatedColumnFormula>Table9[[#This Row],[Qty]]*Table9[[#This Row],[Unit Cost]]</calculatedColumnFormula>
      <totalsRowFormula>SUM(H2:H8)</totalsRowFormula>
    </tableColumn>
    <tableColumn id="9" name="Remarks" dataDxfId="76" totalsRowDxfId="9"/>
  </tableColumns>
  <tableStyleInfo name="TableStyleMedium9" showFirstColumn="0" showLastColumn="0" showRowStripes="1" showColumnStripes="0"/>
</table>
</file>

<file path=xl/tables/table7.xml><?xml version="1.0" encoding="utf-8"?>
<table xmlns="http://schemas.openxmlformats.org/spreadsheetml/2006/main" id="10" name="Table10" displayName="Table10" ref="A1:I16" totalsRowCount="1" headerRowDxfId="75" headerRowBorderDxfId="74" tableBorderDxfId="73" totalsRowBorderDxfId="72">
  <tableColumns count="9">
    <tableColumn id="1" name="S.No" dataDxfId="71" totalsRowDxfId="8"/>
    <tableColumn id="2" name="Component Name" dataDxfId="70" totalsRowDxfId="7"/>
    <tableColumn id="3" name="Mfp Part Number" dataDxfId="69" totalsRowDxfId="6"/>
    <tableColumn id="4" name="Description" dataDxfId="68" totalsRowDxfId="5"/>
    <tableColumn id="5" name="Supplier Ref" dataDxfId="67" totalsRowDxfId="4"/>
    <tableColumn id="6" name="Unit Cost" dataDxfId="66" totalsRowDxfId="3"/>
    <tableColumn id="7" name="Qty" dataDxfId="65" totalsRowDxfId="2"/>
    <tableColumn id="8" name="Total Cost" totalsRowFunction="custom" dataDxfId="64" totalsRowDxfId="1">
      <calculatedColumnFormula>Table10[[#This Row],[Qty]]*Table10[[#This Row],[Unit Cost]]</calculatedColumnFormula>
      <totalsRowFormula>SUM(H2:H15)</totalsRowFormula>
    </tableColumn>
    <tableColumn id="9" name="Remarks" dataDxfId="63" totalsRow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digikey.com/product-detail/en/te-connectivity-amp-connectors/292303-1/A31726-ND/773786" TargetMode="External"/><Relationship Id="rId13" Type="http://schemas.openxmlformats.org/officeDocument/2006/relationships/comments" Target="../comments1.xml"/><Relationship Id="rId3" Type="http://schemas.openxmlformats.org/officeDocument/2006/relationships/hyperlink" Target="https://www.digikey.com/products/en/integrated-circuits-ics/interface-controllers/753?k=CP2102N-A02-GQFN24R&amp;k=&amp;pkeyword=CP2102N-A02-GQFN24R&amp;sv=0&amp;pv7=2&amp;sf=0&amp;quantity=&amp;ColumnSort=0&amp;page=1&amp;pageSize=25" TargetMode="External"/><Relationship Id="rId7" Type="http://schemas.openxmlformats.org/officeDocument/2006/relationships/hyperlink" Target="https://www.digikey.com/products/en/capacitors/ceramic-capacitors/60?k=CC0402KRX7R7BB104&amp;k=&amp;pkeyword=CC0402KRX7R7BB104&amp;sv=0&amp;pv7=2&amp;sf=0&amp;quantity=&amp;ColumnSort=0&amp;page=1&amp;pageSize=25" TargetMode="External"/><Relationship Id="rId12" Type="http://schemas.openxmlformats.org/officeDocument/2006/relationships/table" Target="../tables/table1.xml"/><Relationship Id="rId2" Type="http://schemas.openxmlformats.org/officeDocument/2006/relationships/hyperlink" Target="https://www.digikey.com/products/en/resistors/chip-resistor-surface-mount/52?k=RT0402FRE071KL&amp;k=&amp;pkeyword=RT0402FRE071KL&amp;sv=0&amp;pv7=2&amp;sf=0&amp;quantity=&amp;ColumnSort=0&amp;page=1&amp;pageSize=25" TargetMode="External"/><Relationship Id="rId1" Type="http://schemas.openxmlformats.org/officeDocument/2006/relationships/hyperlink" Target="https://aliexpress.ru/item/4000631570932.html?spm=a2g0o.detail.1000014.24.56d127c5uknFGI&amp;gps-id=pcDetailBottomMoreOtherSeller&amp;scm=1007.13338.170725.0&amp;scm_id=1007.13338.170725.0&amp;scm-url=1007.13338.170725.0&amp;pvid=42c1bfd9-6714-4cd7-9461-373bab33a683&amp;_t=gps-i" TargetMode="External"/><Relationship Id="rId6" Type="http://schemas.openxmlformats.org/officeDocument/2006/relationships/hyperlink" Target="https://www.digikey.com/products/en/capacitors/ceramic-capacitors/60?k=CC0402KRX7R7BB104&amp;k=&amp;pkeyword=CC0402KRX7R7BB104&amp;sv=0&amp;pv7=2&amp;sf=0&amp;quantity=&amp;ColumnSort=0&amp;page=1&amp;pageSize=25" TargetMode="External"/><Relationship Id="rId11" Type="http://schemas.openxmlformats.org/officeDocument/2006/relationships/vmlDrawing" Target="../drawings/vmlDrawing1.vml"/><Relationship Id="rId5" Type="http://schemas.openxmlformats.org/officeDocument/2006/relationships/hyperlink" Target="https://www.digikey.com/products/en/resistors/chip-resistor-surface-mount/52?k=ERJ-2RKF4702X&amp;k=&amp;pkeyword=ERJ-2RKF4702X&amp;sv=0&amp;pv7=2&amp;sf=0&amp;quantity=&amp;ColumnSort=0&amp;page=1&amp;pageSize=25" TargetMode="External"/><Relationship Id="rId10" Type="http://schemas.openxmlformats.org/officeDocument/2006/relationships/printerSettings" Target="../printerSettings/printerSettings1.bin"/><Relationship Id="rId4" Type="http://schemas.openxmlformats.org/officeDocument/2006/relationships/hyperlink" Target="https://www.digikey.com/products/en/resistors/chip-resistor-surface-mount/52?k=RC0402FR-0722K6L&amp;k=&amp;pkeyword=RC0402FR-0722K6L&amp;sv=0&amp;pv7=2&amp;sf=0&amp;quantity=&amp;ColumnSort=0&amp;page=1&amp;pageSize=25" TargetMode="External"/><Relationship Id="rId9" Type="http://schemas.openxmlformats.org/officeDocument/2006/relationships/hyperlink" Target="https://www.digikey.com/product-detail/en/on-semiconductor/FSUSB30MUX/FSUSB30MUXCT-ND/1245076"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digikey.com/product-detail/en/koa-speer-electronics-inc/RK73H1ETTP1002F/2019-RK73H1ETTP1002FCT-ND/9846198" TargetMode="External"/><Relationship Id="rId13" Type="http://schemas.openxmlformats.org/officeDocument/2006/relationships/comments" Target="../comments2.xml"/><Relationship Id="rId3" Type="http://schemas.openxmlformats.org/officeDocument/2006/relationships/hyperlink" Target="https://www.digikey.com/product-detail/en/nichicon/UCD1V471MNL6GS/493-14715-1-ND/6161703" TargetMode="External"/><Relationship Id="rId7" Type="http://schemas.openxmlformats.org/officeDocument/2006/relationships/hyperlink" Target="https://www.digikey.com/product-detail/en/samsung-electro-mechanics/CL31B106KBHNNNE/1276-6767-1-ND/5961626" TargetMode="External"/><Relationship Id="rId12" Type="http://schemas.openxmlformats.org/officeDocument/2006/relationships/table" Target="../tables/table2.xml"/><Relationship Id="rId2" Type="http://schemas.openxmlformats.org/officeDocument/2006/relationships/hyperlink" Target="https://www.digikey.com/product-detail/en/texas-instruments/CSD18540Q5B/296-41076-1-ND/5181337" TargetMode="External"/><Relationship Id="rId1" Type="http://schemas.openxmlformats.org/officeDocument/2006/relationships/hyperlink" Target="https://www.digikey.com/product-detail/en/texas-instruments/DRV8701ERGET/296-42155-1-ND/5299196" TargetMode="External"/><Relationship Id="rId6" Type="http://schemas.openxmlformats.org/officeDocument/2006/relationships/hyperlink" Target="https://www.digikey.com/product-detail/en/samsung-electro-mechanics/CL10B105KO8NNNC/1276-1019-1-ND/3889105" TargetMode="External"/><Relationship Id="rId11" Type="http://schemas.openxmlformats.org/officeDocument/2006/relationships/vmlDrawing" Target="../drawings/vmlDrawing2.vml"/><Relationship Id="rId5" Type="http://schemas.openxmlformats.org/officeDocument/2006/relationships/hyperlink" Target="https://www.digikey.com/product-detail/en/walsin-technology-corporation/0201B102K160CT/1292-1117-1-ND/9355121" TargetMode="External"/><Relationship Id="rId10" Type="http://schemas.openxmlformats.org/officeDocument/2006/relationships/printerSettings" Target="../printerSettings/printerSettings2.bin"/><Relationship Id="rId4" Type="http://schemas.openxmlformats.org/officeDocument/2006/relationships/hyperlink" Target="https://www.digikey.com/product-detail/en/samsung-electro-mechanics/CL05B104KB54PNC/1276-CL05B104KB54PNCCT-ND/11487900" TargetMode="External"/><Relationship Id="rId9" Type="http://schemas.openxmlformats.org/officeDocument/2006/relationships/hyperlink" Target="https://www.digikey.com/product-detail/en/yageo/RC0603FR-0768KL/311-68-0KHRCT-ND/730299"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digikey.com/product-detail/en/samsung-electro-mechanics/CL21B105KBFNNNE/1276-1029-1-ND/3889115" TargetMode="External"/><Relationship Id="rId13" Type="http://schemas.openxmlformats.org/officeDocument/2006/relationships/hyperlink" Target="https://www.digikey.com/product-detail/en/yageo/RC0402FR-0716K9L/YAG3003CT-ND/5281868" TargetMode="External"/><Relationship Id="rId3" Type="http://schemas.openxmlformats.org/officeDocument/2006/relationships/hyperlink" Target="https://www.digikey.com/product-detail/en/on-semiconductor/MJD45H11T4G/MJD45H11T4GOSTR-ND/919483" TargetMode="External"/><Relationship Id="rId7" Type="http://schemas.openxmlformats.org/officeDocument/2006/relationships/hyperlink" Target="https://www.digikey.com/product-detail/en/on-semiconductor/MJD31CT4G/MJD31CT4GOSCT-ND/1139773" TargetMode="External"/><Relationship Id="rId12" Type="http://schemas.openxmlformats.org/officeDocument/2006/relationships/hyperlink" Target="https://www.digikey.com/product-detail/en/panasonic-electronic-components/ERJ-2RKF4753X/P475KLCT-ND/194421" TargetMode="External"/><Relationship Id="rId2" Type="http://schemas.openxmlformats.org/officeDocument/2006/relationships/hyperlink" Target="https://www.digikey.com/product-detail/en/on-semiconductor/MJD32CT4G/MJD32CT4GOSCT-ND/1139774" TargetMode="External"/><Relationship Id="rId16" Type="http://schemas.openxmlformats.org/officeDocument/2006/relationships/table" Target="../tables/table3.xml"/><Relationship Id="rId1" Type="http://schemas.openxmlformats.org/officeDocument/2006/relationships/hyperlink" Target="https://www.digikey.com/product-detail/en/texas-instruments/BQ24450DWTR/296-24367-1-ND/2051746" TargetMode="External"/><Relationship Id="rId6" Type="http://schemas.openxmlformats.org/officeDocument/2006/relationships/hyperlink" Target="https://www.digikey.com/product-detail/en/diodes-incorporated/ES3AB-13-F/ES3AB-FDICT-ND/775776" TargetMode="External"/><Relationship Id="rId11" Type="http://schemas.openxmlformats.org/officeDocument/2006/relationships/hyperlink" Target="https://www.digikey.com/product-detail/en/panasonic-electronic-components/ERJ-2RKF4642X/P46-4KLCT-ND/194415" TargetMode="External"/><Relationship Id="rId5" Type="http://schemas.openxmlformats.org/officeDocument/2006/relationships/hyperlink" Target="https://www.digikey.com/product-detail/en/yageo/RC0201JR-0710KL/311-10KNCT-ND/1949007" TargetMode="External"/><Relationship Id="rId15" Type="http://schemas.openxmlformats.org/officeDocument/2006/relationships/printerSettings" Target="../printerSettings/printerSettings3.bin"/><Relationship Id="rId10" Type="http://schemas.openxmlformats.org/officeDocument/2006/relationships/hyperlink" Target="https://www.digikey.com/product-detail/en/panasonic-electronic-components/ERJ-8BWJR082V/P-082AVCT-ND/1711729" TargetMode="External"/><Relationship Id="rId4" Type="http://schemas.openxmlformats.org/officeDocument/2006/relationships/hyperlink" Target="https://www.digikey.com/product-detail/en/yageo/RC0402FR-07442RL/YAG3162CT-ND/5282027" TargetMode="External"/><Relationship Id="rId9" Type="http://schemas.openxmlformats.org/officeDocument/2006/relationships/hyperlink" Target="https://www.digikey.com/product-detail/en/kemet/C0402C104Z4VAC7867/399-1043-1-ND/411318" TargetMode="External"/><Relationship Id="rId14" Type="http://schemas.openxmlformats.org/officeDocument/2006/relationships/hyperlink" Target="https://www.digikey.com/product-detail/en/yageo/RC0603FR-07162KL/311-162KHRCT-ND/729922" TargetMode="Externa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mazon.com/Universal-Motorcycle-Indicator-Cruiser-mounting/dp/B011DXKB42" TargetMode="External"/><Relationship Id="rId7" Type="http://schemas.openxmlformats.org/officeDocument/2006/relationships/printerSettings" Target="../printerSettings/printerSettings4.bin"/><Relationship Id="rId2" Type="http://schemas.openxmlformats.org/officeDocument/2006/relationships/hyperlink" Target="https://www.digikey.com/product-detail/en/adafruit-industries-llc/412/1528-1551-ND/5819056" TargetMode="External"/><Relationship Id="rId1" Type="http://schemas.openxmlformats.org/officeDocument/2006/relationships/hyperlink" Target="https://uk.rs-online.com/web/p/piezo-buzzer-components/6173097/?searchTerm=6173097&amp;relevancy-data=636F3D3126696E3D4931384E525353746F636B4E756D6265724D504E266C753D656E266D6D3D6D61746368616C6C26706D3D5E5C647B367D247C5E5C647B377D247C5E5C647B31307D2426706F3D3" TargetMode="External"/><Relationship Id="rId6" Type="http://schemas.openxmlformats.org/officeDocument/2006/relationships/hyperlink" Target="https://www.digikey.com/product-detail/en/zf-electronics/DC1C-A1AA/CH290-ND/280836" TargetMode="External"/><Relationship Id="rId11" Type="http://schemas.openxmlformats.org/officeDocument/2006/relationships/comments" Target="../comments3.xml"/><Relationship Id="rId5" Type="http://schemas.openxmlformats.org/officeDocument/2006/relationships/hyperlink" Target="https://www.amazon.com/Nilight-Driving-Lights-driving-Warranty/dp/B07217HPV5/ref=sr_1_14?dchild=1&amp;keywords=fog+lamps+small&amp;qid=1593638478&amp;sr=8-14" TargetMode="External"/><Relationship Id="rId10" Type="http://schemas.openxmlformats.org/officeDocument/2006/relationships/table" Target="../tables/table4.xml"/><Relationship Id="rId4" Type="http://schemas.openxmlformats.org/officeDocument/2006/relationships/hyperlink" Target="https://www.robotshop.com/en/weatherproof-ultrasonic-sensor-separate-probe.html?utm_source=google&amp;utm_medium=surfaces&amp;utm_campaign=surfaces_across_google_usen&amp;gclid=Cj0KCQjw6PD3BRDPARIsAN8pHuF99LbEp96eODb06f457DKcWD6koyLSoLVvCegX-RrvwFdjpnej_c0aAkeDEALw_w" TargetMode="External"/><Relationship Id="rId9"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hyperlink" Target="https://www.digikey.com/product-detail/en/nichicon/UCD1V471MNL6GS/493-14715-1-ND/6161703" TargetMode="External"/><Relationship Id="rId7" Type="http://schemas.openxmlformats.org/officeDocument/2006/relationships/comments" Target="../comments4.xml"/><Relationship Id="rId2" Type="http://schemas.openxmlformats.org/officeDocument/2006/relationships/hyperlink" Target="https://www.aliexpress.com/item/32755026780.html?spm=a2g0v.12057483.0.0.290b2fe3GOOEr2" TargetMode="External"/><Relationship Id="rId1" Type="http://schemas.openxmlformats.org/officeDocument/2006/relationships/hyperlink" Target="https://www.digikey.com/product-detail/en/amphenol-icc-fci/95278-101A06LF/609-3487-1-ND/2044025" TargetMode="External"/><Relationship Id="rId6" Type="http://schemas.openxmlformats.org/officeDocument/2006/relationships/table" Target="../tables/table5.xml"/><Relationship Id="rId5" Type="http://schemas.openxmlformats.org/officeDocument/2006/relationships/vmlDrawing" Target="../drawings/vmlDrawing4.v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https://www.digikey.com/product-detail/en/panasonic-electronic-components/ERJ-2GEJ164X/P160KJCT-ND/146883" TargetMode="External"/><Relationship Id="rId7" Type="http://schemas.openxmlformats.org/officeDocument/2006/relationships/hyperlink" Target="https://www.digikey.com/product-detail/en/yageo/RC1206FR-07499KL/311-499KFRCT-ND/731892" TargetMode="External"/><Relationship Id="rId2" Type="http://schemas.openxmlformats.org/officeDocument/2006/relationships/hyperlink" Target="https://www.digikey.com/products/en/integrated-circuits-ics/pmic-voltage-regulators-linear/699?k=LDO&amp;k=&amp;pkeyword=LDO&amp;sv=0&amp;pv477=u6%C2%B5A&amp;sf=1&amp;FV=7%7C2%2C41%7C347431%2C129%7C119750%2Cii1%7C1065%2C1779%7C249171%2C1989%7C0%2C-8%7C699%2C573%7C97403&amp;quantity=" TargetMode="External"/><Relationship Id="rId1" Type="http://schemas.openxmlformats.org/officeDocument/2006/relationships/hyperlink" Target="https://www.digikey.com/products/en/integrated-circuits-ics/pmic-voltage-regulators-linear/699?k=LDO&amp;k=&amp;pkeyword=LDO&amp;sv=0&amp;pv477=u80%C2%B5A&amp;sf=1&amp;FV=7%7C2%2C129%7C119750%2Cii1%7C1065%2C1779%7C174115%2C1989%7C0%2C-8%7C699%2C573%7C108742&amp;quantity=&amp;ColumnSort=" TargetMode="External"/><Relationship Id="rId6" Type="http://schemas.openxmlformats.org/officeDocument/2006/relationships/hyperlink" Target="https://www.digikey.com/product-detail/en/samsung-electro-mechanics/CL21A106KOQNNNG/1276-6455-1-ND/5958083" TargetMode="External"/><Relationship Id="rId5" Type="http://schemas.openxmlformats.org/officeDocument/2006/relationships/hyperlink" Target="https://www.digikey.com/product-detail/en/samsung-electro-mechanics/CL31A225KBHNNNE/1276-2878-1-ND/3890964" TargetMode="External"/><Relationship Id="rId4" Type="http://schemas.openxmlformats.org/officeDocument/2006/relationships/hyperlink" Target="https://www.digikey.com/product-detail/en/samsung-electro-mechanics/CL21B105KBFNNNE/1276-1029-1-ND/3889115" TargetMode="External"/><Relationship Id="rId9"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hyperlink" Target="https://aliexpress.ru/item/32831841073.html?spm=a2g0o.productlist.0.0.419f40fbq9iCXb&amp;algo_pvid=526cdc1d-cf4a-4225-bafd-41b39b59e5e7&amp;algo_expid=526cdc1d-cf4a-4225-bafd-41b39b59e5e7-2&amp;btsid=0ab6d67915949061811617446e2a96&amp;ws_ab_test=searchweb0_0,searchweb201" TargetMode="External"/><Relationship Id="rId13" Type="http://schemas.openxmlformats.org/officeDocument/2006/relationships/hyperlink" Target="https://www.aliexpress.com/item/33004817179.html?spm=2114.12057483.0.0.14eb276cbpH3JB" TargetMode="External"/><Relationship Id="rId18" Type="http://schemas.openxmlformats.org/officeDocument/2006/relationships/comments" Target="../comments5.xml"/><Relationship Id="rId3" Type="http://schemas.openxmlformats.org/officeDocument/2006/relationships/hyperlink" Target="https://www.digikey.com/product-detail/en/panasonic-electronic-components/ERJ-2GEJ103X/P10KJCT-ND/146734" TargetMode="External"/><Relationship Id="rId7" Type="http://schemas.openxmlformats.org/officeDocument/2006/relationships/hyperlink" Target="https://www.digikey.com/product-detail/en/sparkfun-electronics/COM-09032/1568-1526-ND/6823623" TargetMode="External"/><Relationship Id="rId12" Type="http://schemas.openxmlformats.org/officeDocument/2006/relationships/hyperlink" Target="https://www.digikey.com/product-detail/en/cree-inc/C5SMF-GJF-CV0Y0792/C5SMF-GJF-CV0Y0792CT-ND/6138568" TargetMode="External"/><Relationship Id="rId17" Type="http://schemas.openxmlformats.org/officeDocument/2006/relationships/table" Target="../tables/table7.xml"/><Relationship Id="rId2" Type="http://schemas.openxmlformats.org/officeDocument/2006/relationships/hyperlink" Target="https://www.digikey.com/product-detail/en/omron-electronics-inc-emc-div/B3U-1000P/SW1020CT-ND/1534357" TargetMode="External"/><Relationship Id="rId16" Type="http://schemas.openxmlformats.org/officeDocument/2006/relationships/vmlDrawing" Target="../drawings/vmlDrawing5.vml"/><Relationship Id="rId1" Type="http://schemas.openxmlformats.org/officeDocument/2006/relationships/hyperlink" Target="https://www.digikey.com/products/en/integrated-circuits-ics/embedded-microcontrollers/685?k=ATMEGA328P-AUR&amp;k=&amp;pkeyword=ATMEGA328P-AUR&amp;sv=0&amp;pv7=2&amp;sf=0&amp;quantity=&amp;ColumnSort=0&amp;page=1&amp;pageSize=25" TargetMode="External"/><Relationship Id="rId6" Type="http://schemas.openxmlformats.org/officeDocument/2006/relationships/hyperlink" Target="https://www.digikey.com/product-detail/en/kemet/C0402C104Z4VAC7867/399-1043-1-ND/411318" TargetMode="External"/><Relationship Id="rId11" Type="http://schemas.openxmlformats.org/officeDocument/2006/relationships/hyperlink" Target="https://www.digikey.com/product-detail/en/cree-inc/C5SMF-RJF-CT0W0BB2/C5SMF-RJF-CT0W0BB2CT-ND/6138570" TargetMode="External"/><Relationship Id="rId5" Type="http://schemas.openxmlformats.org/officeDocument/2006/relationships/hyperlink" Target="https://www.digikey.com/product-detail/en/kemet/C0805C200J4GAC7800/399-9987-1-ND/3736986" TargetMode="External"/><Relationship Id="rId15" Type="http://schemas.openxmlformats.org/officeDocument/2006/relationships/drawing" Target="../drawings/drawing3.xml"/><Relationship Id="rId10" Type="http://schemas.openxmlformats.org/officeDocument/2006/relationships/hyperlink" Target="https://www.digikey.com/product-detail/en/e-switch/100SP1T1B4M2QE/EG2355-ND/378824" TargetMode="External"/><Relationship Id="rId4" Type="http://schemas.openxmlformats.org/officeDocument/2006/relationships/hyperlink" Target="https://www.digikey.com/product-detail/en/ecs-inc/ECS-200-20-3X-EN-TR/XC1796CT-ND/2676660" TargetMode="External"/><Relationship Id="rId9" Type="http://schemas.openxmlformats.org/officeDocument/2006/relationships/hyperlink" Target="https://www.amazon.com/Mighty-Max-Bater%C3%ADa-ML18-12-recargable/dp/B00K8E4WAW/ref=sr_1_7?dchild=1&amp;m=A33N703ELCFX8U&amp;qid=1594903669&amp;s=merchant-items&amp;sr=1-7" TargetMode="External"/><Relationship Id="rId1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1"/>
  <sheetViews>
    <sheetView workbookViewId="0">
      <selection activeCell="D18" sqref="D18"/>
    </sheetView>
  </sheetViews>
  <sheetFormatPr defaultRowHeight="15"/>
  <cols>
    <col min="1" max="1" width="5.140625" bestFit="1" customWidth="1"/>
    <col min="2" max="2" width="19.42578125" customWidth="1"/>
    <col min="3" max="3" width="25.28515625" customWidth="1"/>
    <col min="4" max="4" width="56.140625" bestFit="1" customWidth="1"/>
    <col min="5" max="5" width="12.5703125" customWidth="1"/>
    <col min="6" max="6" width="9.140625" bestFit="1" customWidth="1"/>
    <col min="8" max="8" width="9.7109375" bestFit="1" customWidth="1"/>
    <col min="9" max="9" width="10.7109375" customWidth="1"/>
  </cols>
  <sheetData>
    <row r="1" spans="1:9">
      <c r="A1" s="23" t="s">
        <v>0</v>
      </c>
      <c r="B1" s="24" t="s">
        <v>1</v>
      </c>
      <c r="C1" s="8" t="s">
        <v>7</v>
      </c>
      <c r="D1" s="24" t="s">
        <v>2</v>
      </c>
      <c r="E1" s="8" t="s">
        <v>3</v>
      </c>
      <c r="F1" s="8" t="s">
        <v>4</v>
      </c>
      <c r="G1" s="8" t="s">
        <v>11</v>
      </c>
      <c r="H1" s="8" t="s">
        <v>12</v>
      </c>
      <c r="I1" s="25" t="s">
        <v>5</v>
      </c>
    </row>
    <row r="2" spans="1:9">
      <c r="A2" s="26">
        <v>1</v>
      </c>
      <c r="B2" s="27" t="s">
        <v>33</v>
      </c>
      <c r="C2" s="11" t="s">
        <v>34</v>
      </c>
      <c r="D2" s="27" t="s">
        <v>84</v>
      </c>
      <c r="E2" s="12" t="s">
        <v>123</v>
      </c>
      <c r="F2" s="13">
        <v>12.06</v>
      </c>
      <c r="G2" s="11">
        <v>2</v>
      </c>
      <c r="H2" s="13">
        <f>G2*F2</f>
        <v>24.12</v>
      </c>
      <c r="I2" s="28"/>
    </row>
    <row r="3" spans="1:9">
      <c r="A3" s="26">
        <v>2</v>
      </c>
      <c r="B3" s="27" t="s">
        <v>82</v>
      </c>
      <c r="C3" s="11" t="s">
        <v>60</v>
      </c>
      <c r="D3" s="27" t="s">
        <v>83</v>
      </c>
      <c r="E3" s="29" t="s">
        <v>40</v>
      </c>
      <c r="F3" s="13">
        <v>1.35</v>
      </c>
      <c r="G3" s="11">
        <v>1</v>
      </c>
      <c r="H3" s="13">
        <f t="shared" ref="H3:H9" si="0">G3*F3</f>
        <v>1.35</v>
      </c>
      <c r="I3" s="28"/>
    </row>
    <row r="4" spans="1:9">
      <c r="A4" s="26">
        <v>3</v>
      </c>
      <c r="B4" s="27" t="s">
        <v>28</v>
      </c>
      <c r="C4" s="11" t="s">
        <v>61</v>
      </c>
      <c r="D4" s="27" t="s">
        <v>85</v>
      </c>
      <c r="E4" s="29" t="s">
        <v>40</v>
      </c>
      <c r="F4" s="13">
        <v>0.1</v>
      </c>
      <c r="G4" s="11">
        <v>1</v>
      </c>
      <c r="H4" s="13">
        <f t="shared" si="0"/>
        <v>0.1</v>
      </c>
      <c r="I4" s="28"/>
    </row>
    <row r="5" spans="1:9">
      <c r="A5" s="26">
        <v>4</v>
      </c>
      <c r="B5" s="27" t="s">
        <v>28</v>
      </c>
      <c r="C5" s="11" t="s">
        <v>61</v>
      </c>
      <c r="D5" s="27" t="s">
        <v>86</v>
      </c>
      <c r="E5" s="29" t="s">
        <v>40</v>
      </c>
      <c r="F5" s="13">
        <v>0.1</v>
      </c>
      <c r="G5" s="11">
        <v>1</v>
      </c>
      <c r="H5" s="13">
        <f t="shared" si="0"/>
        <v>0.1</v>
      </c>
      <c r="I5" s="28"/>
    </row>
    <row r="6" spans="1:9">
      <c r="A6" s="26">
        <v>5</v>
      </c>
      <c r="B6" s="27" t="s">
        <v>28</v>
      </c>
      <c r="C6" s="11" t="s">
        <v>62</v>
      </c>
      <c r="D6" s="27" t="s">
        <v>87</v>
      </c>
      <c r="E6" s="29" t="s">
        <v>40</v>
      </c>
      <c r="F6" s="13">
        <v>0.1</v>
      </c>
      <c r="G6" s="11">
        <v>1</v>
      </c>
      <c r="H6" s="13">
        <f t="shared" si="0"/>
        <v>0.1</v>
      </c>
      <c r="I6" s="28"/>
    </row>
    <row r="7" spans="1:9">
      <c r="A7" s="26">
        <v>6</v>
      </c>
      <c r="B7" s="27" t="s">
        <v>19</v>
      </c>
      <c r="C7" s="11" t="s">
        <v>63</v>
      </c>
      <c r="D7" s="27" t="s">
        <v>88</v>
      </c>
      <c r="E7" s="29" t="s">
        <v>40</v>
      </c>
      <c r="F7" s="13">
        <v>0.5</v>
      </c>
      <c r="G7" s="11">
        <v>1</v>
      </c>
      <c r="H7" s="13">
        <f t="shared" si="0"/>
        <v>0.5</v>
      </c>
      <c r="I7" s="28"/>
    </row>
    <row r="8" spans="1:9">
      <c r="A8" s="30">
        <v>7</v>
      </c>
      <c r="B8" s="31" t="s">
        <v>19</v>
      </c>
      <c r="C8" s="17" t="s">
        <v>64</v>
      </c>
      <c r="D8" s="31" t="s">
        <v>88</v>
      </c>
      <c r="E8" s="32" t="s">
        <v>40</v>
      </c>
      <c r="F8" s="19">
        <v>0.1</v>
      </c>
      <c r="G8" s="17">
        <v>1</v>
      </c>
      <c r="H8" s="13">
        <f t="shared" si="0"/>
        <v>0.1</v>
      </c>
      <c r="I8" s="33"/>
    </row>
    <row r="9" spans="1:9">
      <c r="A9" s="37">
        <v>8</v>
      </c>
      <c r="B9" s="38" t="s">
        <v>89</v>
      </c>
      <c r="C9" s="39" t="s">
        <v>90</v>
      </c>
      <c r="D9" s="38" t="s">
        <v>91</v>
      </c>
      <c r="E9" s="42" t="s">
        <v>10</v>
      </c>
      <c r="F9" s="40">
        <v>1.49</v>
      </c>
      <c r="G9" s="39">
        <v>2</v>
      </c>
      <c r="H9" s="13">
        <f t="shared" si="0"/>
        <v>2.98</v>
      </c>
      <c r="I9" s="41"/>
    </row>
    <row r="10" spans="1:9">
      <c r="A10" s="69">
        <v>9</v>
      </c>
      <c r="B10" s="52" t="s">
        <v>154</v>
      </c>
      <c r="C10" s="70" t="s">
        <v>157</v>
      </c>
      <c r="D10" s="52" t="s">
        <v>156</v>
      </c>
      <c r="E10" s="73" t="s">
        <v>10</v>
      </c>
      <c r="F10" s="71">
        <v>0.56000000000000005</v>
      </c>
      <c r="G10" s="70">
        <v>1</v>
      </c>
      <c r="H10" s="71">
        <f>G10*F10</f>
        <v>0.56000000000000005</v>
      </c>
      <c r="I10" s="72"/>
    </row>
    <row r="11" spans="1:9">
      <c r="A11" s="37"/>
      <c r="B11" s="38"/>
      <c r="C11" s="39"/>
      <c r="D11" s="38"/>
      <c r="E11" s="39"/>
      <c r="F11" s="40"/>
      <c r="G11" s="39"/>
      <c r="H11" s="40">
        <f>SUM(H2:H10)</f>
        <v>29.910000000000007</v>
      </c>
      <c r="I11" s="41"/>
    </row>
  </sheetData>
  <hyperlinks>
    <hyperlink ref="E2" r:id="rId1"/>
    <hyperlink ref="E4" r:id="rId2"/>
    <hyperlink ref="E3" r:id="rId3"/>
    <hyperlink ref="E5" r:id="rId4"/>
    <hyperlink ref="E6" r:id="rId5"/>
    <hyperlink ref="E7" r:id="rId6"/>
    <hyperlink ref="E8" r:id="rId7"/>
    <hyperlink ref="E9" r:id="rId8"/>
    <hyperlink ref="E10" r:id="rId9"/>
  </hyperlinks>
  <pageMargins left="0.7" right="0.7" top="0.75" bottom="0.75" header="0.3" footer="0.3"/>
  <pageSetup orientation="portrait" horizontalDpi="300" verticalDpi="300" r:id="rId10"/>
  <legacyDrawing r:id="rId11"/>
  <tableParts count="1">
    <tablePart r:id="rId1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3"/>
  <sheetViews>
    <sheetView workbookViewId="0">
      <selection activeCell="D9" sqref="D9"/>
    </sheetView>
  </sheetViews>
  <sheetFormatPr defaultRowHeight="15"/>
  <cols>
    <col min="1" max="1" width="5.140625" bestFit="1" customWidth="1"/>
    <col min="2" max="2" width="19.28515625" customWidth="1"/>
    <col min="3" max="3" width="20" customWidth="1"/>
    <col min="4" max="4" width="32.7109375" bestFit="1" customWidth="1"/>
    <col min="5" max="5" width="14" customWidth="1"/>
    <col min="6" max="6" width="11.140625" customWidth="1"/>
    <col min="7" max="7" width="9" customWidth="1"/>
    <col min="8" max="8" width="11.85546875" customWidth="1"/>
    <col min="9" max="9" width="10.7109375" customWidth="1"/>
  </cols>
  <sheetData>
    <row r="1" spans="1:9">
      <c r="A1" s="23" t="s">
        <v>0</v>
      </c>
      <c r="B1" s="7" t="s">
        <v>1</v>
      </c>
      <c r="C1" s="8" t="s">
        <v>7</v>
      </c>
      <c r="D1" s="7" t="s">
        <v>2</v>
      </c>
      <c r="E1" s="8" t="s">
        <v>3</v>
      </c>
      <c r="F1" s="8" t="s">
        <v>4</v>
      </c>
      <c r="G1" s="8" t="s">
        <v>11</v>
      </c>
      <c r="H1" s="8" t="s">
        <v>12</v>
      </c>
      <c r="I1" s="9" t="s">
        <v>5</v>
      </c>
    </row>
    <row r="2" spans="1:9">
      <c r="A2" s="26">
        <v>1</v>
      </c>
      <c r="B2" s="10" t="s">
        <v>6</v>
      </c>
      <c r="C2" s="11" t="s">
        <v>8</v>
      </c>
      <c r="D2" s="10" t="s">
        <v>9</v>
      </c>
      <c r="E2" s="12" t="s">
        <v>10</v>
      </c>
      <c r="F2" s="13">
        <v>2.37</v>
      </c>
      <c r="G2" s="14">
        <v>1</v>
      </c>
      <c r="H2" s="13">
        <f>G2*F2</f>
        <v>2.37</v>
      </c>
      <c r="I2" s="15"/>
    </row>
    <row r="3" spans="1:9">
      <c r="A3" s="26">
        <v>2</v>
      </c>
      <c r="B3" s="10" t="s">
        <v>13</v>
      </c>
      <c r="C3" s="11" t="s">
        <v>14</v>
      </c>
      <c r="D3" s="10" t="s">
        <v>15</v>
      </c>
      <c r="E3" s="12" t="s">
        <v>10</v>
      </c>
      <c r="F3" s="13">
        <v>2.44</v>
      </c>
      <c r="G3" s="14">
        <v>4</v>
      </c>
      <c r="H3" s="13">
        <f t="shared" ref="H3:H10" si="0">G3*F3</f>
        <v>9.76</v>
      </c>
      <c r="I3" s="15"/>
    </row>
    <row r="4" spans="1:9">
      <c r="A4" s="26">
        <v>3</v>
      </c>
      <c r="B4" s="10" t="s">
        <v>16</v>
      </c>
      <c r="C4" s="11" t="s">
        <v>17</v>
      </c>
      <c r="D4" s="10" t="s">
        <v>18</v>
      </c>
      <c r="E4" s="12" t="s">
        <v>10</v>
      </c>
      <c r="F4" s="13">
        <v>1.04</v>
      </c>
      <c r="G4" s="14">
        <v>2</v>
      </c>
      <c r="H4" s="13">
        <f t="shared" si="0"/>
        <v>2.08</v>
      </c>
      <c r="I4" s="15"/>
    </row>
    <row r="5" spans="1:9">
      <c r="A5" s="26">
        <v>4</v>
      </c>
      <c r="B5" s="10" t="s">
        <v>19</v>
      </c>
      <c r="C5" s="11" t="s">
        <v>24</v>
      </c>
      <c r="D5" s="10" t="s">
        <v>25</v>
      </c>
      <c r="E5" s="12" t="s">
        <v>10</v>
      </c>
      <c r="F5" s="13">
        <v>0.1</v>
      </c>
      <c r="G5" s="14">
        <v>4</v>
      </c>
      <c r="H5" s="13">
        <f t="shared" si="0"/>
        <v>0.4</v>
      </c>
      <c r="I5" s="15"/>
    </row>
    <row r="6" spans="1:9">
      <c r="A6" s="26">
        <v>5</v>
      </c>
      <c r="B6" s="10" t="s">
        <v>19</v>
      </c>
      <c r="C6" s="11" t="s">
        <v>20</v>
      </c>
      <c r="D6" s="10" t="s">
        <v>21</v>
      </c>
      <c r="E6" s="12" t="s">
        <v>10</v>
      </c>
      <c r="F6" s="13">
        <v>0.1</v>
      </c>
      <c r="G6" s="14">
        <v>1</v>
      </c>
      <c r="H6" s="13">
        <f t="shared" si="0"/>
        <v>0.1</v>
      </c>
      <c r="I6" s="15"/>
    </row>
    <row r="7" spans="1:9">
      <c r="A7" s="26">
        <v>6</v>
      </c>
      <c r="B7" s="10" t="s">
        <v>19</v>
      </c>
      <c r="C7" s="11" t="s">
        <v>22</v>
      </c>
      <c r="D7" s="10" t="s">
        <v>23</v>
      </c>
      <c r="E7" s="12" t="s">
        <v>10</v>
      </c>
      <c r="F7" s="13">
        <v>0.1</v>
      </c>
      <c r="G7" s="14">
        <v>3</v>
      </c>
      <c r="H7" s="13">
        <f t="shared" si="0"/>
        <v>0.30000000000000004</v>
      </c>
      <c r="I7" s="15"/>
    </row>
    <row r="8" spans="1:9">
      <c r="A8" s="26">
        <v>7</v>
      </c>
      <c r="B8" s="10" t="s">
        <v>19</v>
      </c>
      <c r="C8" s="11" t="s">
        <v>26</v>
      </c>
      <c r="D8" s="10" t="s">
        <v>27</v>
      </c>
      <c r="E8" s="12" t="s">
        <v>10</v>
      </c>
      <c r="F8" s="13">
        <v>0.39</v>
      </c>
      <c r="G8" s="14">
        <v>1</v>
      </c>
      <c r="H8" s="13">
        <f t="shared" si="0"/>
        <v>0.39</v>
      </c>
      <c r="I8" s="15"/>
    </row>
    <row r="9" spans="1:9">
      <c r="A9" s="26">
        <v>8</v>
      </c>
      <c r="B9" s="10" t="s">
        <v>28</v>
      </c>
      <c r="C9" s="11" t="s">
        <v>29</v>
      </c>
      <c r="D9" s="10" t="s">
        <v>30</v>
      </c>
      <c r="E9" s="12" t="s">
        <v>10</v>
      </c>
      <c r="F9" s="13">
        <v>0.1</v>
      </c>
      <c r="G9" s="14">
        <v>2</v>
      </c>
      <c r="H9" s="13">
        <f t="shared" si="0"/>
        <v>0.2</v>
      </c>
      <c r="I9" s="15"/>
    </row>
    <row r="10" spans="1:9">
      <c r="A10" s="30">
        <v>9</v>
      </c>
      <c r="B10" s="16" t="s">
        <v>28</v>
      </c>
      <c r="C10" s="17" t="s">
        <v>31</v>
      </c>
      <c r="D10" s="16" t="s">
        <v>32</v>
      </c>
      <c r="E10" s="18" t="s">
        <v>10</v>
      </c>
      <c r="F10" s="19">
        <v>0.1</v>
      </c>
      <c r="G10" s="20">
        <v>1</v>
      </c>
      <c r="H10" s="19">
        <f t="shared" si="0"/>
        <v>0.1</v>
      </c>
      <c r="I10" s="21"/>
    </row>
    <row r="11" spans="1:9">
      <c r="A11" s="30"/>
      <c r="B11" s="16"/>
      <c r="C11" s="17"/>
      <c r="D11" s="16"/>
      <c r="E11" s="18"/>
      <c r="F11" s="19"/>
      <c r="G11" s="20"/>
      <c r="H11" s="19">
        <f>SUM(H2:H10)</f>
        <v>15.7</v>
      </c>
      <c r="I11" s="21"/>
    </row>
    <row r="12" spans="1:9">
      <c r="C12" s="2"/>
      <c r="E12" s="2"/>
      <c r="F12" s="3"/>
      <c r="G12" s="5"/>
      <c r="H12" s="3"/>
    </row>
    <row r="13" spans="1:9">
      <c r="C13" s="2"/>
      <c r="E13" s="2"/>
      <c r="F13" s="3"/>
      <c r="G13" s="5"/>
      <c r="H13" s="3"/>
    </row>
    <row r="14" spans="1:9">
      <c r="C14" s="2"/>
      <c r="E14" s="2"/>
      <c r="F14" s="3"/>
      <c r="G14" s="5"/>
      <c r="H14" s="3"/>
    </row>
    <row r="15" spans="1:9">
      <c r="C15" s="2"/>
      <c r="E15" s="2"/>
      <c r="F15" s="3"/>
      <c r="G15" s="5"/>
      <c r="H15" s="3"/>
    </row>
    <row r="16" spans="1:9">
      <c r="C16" s="2"/>
      <c r="E16" s="2"/>
      <c r="F16" s="3"/>
      <c r="G16" s="5"/>
      <c r="H16" s="3"/>
    </row>
    <row r="17" spans="5:8">
      <c r="E17" s="2"/>
      <c r="F17" s="3"/>
      <c r="G17" s="5"/>
      <c r="H17" s="3"/>
    </row>
    <row r="18" spans="5:8">
      <c r="E18" s="2"/>
      <c r="F18" s="3"/>
      <c r="G18" s="5"/>
      <c r="H18" s="4"/>
    </row>
    <row r="19" spans="5:8">
      <c r="E19" s="2"/>
      <c r="F19" s="3"/>
      <c r="G19" s="5"/>
      <c r="H19" s="4"/>
    </row>
    <row r="20" spans="5:8">
      <c r="E20" s="2"/>
      <c r="F20" s="2"/>
      <c r="G20" s="5"/>
      <c r="H20" s="4"/>
    </row>
    <row r="21" spans="5:8">
      <c r="E21" s="2"/>
      <c r="F21" s="2"/>
      <c r="G21" s="5"/>
      <c r="H21" s="2"/>
    </row>
    <row r="22" spans="5:8">
      <c r="G22" s="6"/>
      <c r="H22" s="1"/>
    </row>
    <row r="23" spans="5:8">
      <c r="G23" s="6"/>
      <c r="H23" s="1"/>
    </row>
  </sheetData>
  <hyperlinks>
    <hyperlink ref="E2" r:id="rId1"/>
    <hyperlink ref="E3" r:id="rId2"/>
    <hyperlink ref="E4" r:id="rId3"/>
    <hyperlink ref="E5" r:id="rId4"/>
    <hyperlink ref="E6" r:id="rId5"/>
    <hyperlink ref="E7" r:id="rId6"/>
    <hyperlink ref="E8" r:id="rId7"/>
    <hyperlink ref="E9" r:id="rId8"/>
    <hyperlink ref="E10" r:id="rId9"/>
  </hyperlinks>
  <pageMargins left="0.7" right="0.7" top="0.75" bottom="0.75" header="0.3" footer="0.3"/>
  <pageSetup orientation="portrait" horizontalDpi="300" verticalDpi="300" r:id="rId10"/>
  <legacyDrawing r:id="rId11"/>
  <tableParts count="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election activeCell="C5" sqref="C5"/>
    </sheetView>
  </sheetViews>
  <sheetFormatPr defaultRowHeight="15"/>
  <cols>
    <col min="1" max="1" width="5.7109375" customWidth="1"/>
    <col min="2" max="2" width="24.42578125" customWidth="1"/>
    <col min="3" max="3" width="27.42578125" customWidth="1"/>
    <col min="4" max="4" width="33" customWidth="1"/>
    <col min="5" max="5" width="12.140625" customWidth="1"/>
    <col min="6" max="6" width="10.140625" customWidth="1"/>
    <col min="7" max="7" width="6.7109375" customWidth="1"/>
    <col min="8" max="8" width="10.5703125" customWidth="1"/>
    <col min="9" max="9" width="11.5703125" customWidth="1"/>
  </cols>
  <sheetData>
    <row r="1" spans="1:9">
      <c r="A1" s="34" t="s">
        <v>0</v>
      </c>
      <c r="B1" s="35" t="s">
        <v>1</v>
      </c>
      <c r="C1" s="22" t="s">
        <v>7</v>
      </c>
      <c r="D1" s="35" t="s">
        <v>2</v>
      </c>
      <c r="E1" s="22" t="s">
        <v>3</v>
      </c>
      <c r="F1" s="22" t="s">
        <v>4</v>
      </c>
      <c r="G1" s="22" t="s">
        <v>11</v>
      </c>
      <c r="H1" s="22" t="s">
        <v>12</v>
      </c>
      <c r="I1" s="36" t="s">
        <v>5</v>
      </c>
    </row>
    <row r="2" spans="1:9">
      <c r="A2" s="26">
        <v>1</v>
      </c>
      <c r="B2" s="27" t="s">
        <v>94</v>
      </c>
      <c r="C2" s="11" t="s">
        <v>37</v>
      </c>
      <c r="D2" s="27" t="s">
        <v>38</v>
      </c>
      <c r="E2" s="12" t="s">
        <v>10</v>
      </c>
      <c r="F2" s="43">
        <v>11.3</v>
      </c>
      <c r="G2" s="11">
        <v>1</v>
      </c>
      <c r="H2" s="43">
        <f>Table3[[#This Row],[Qty]]*Table3[[#This Row],[Unit Cost]]</f>
        <v>11.3</v>
      </c>
      <c r="I2" s="28"/>
    </row>
    <row r="3" spans="1:9">
      <c r="A3" s="26">
        <v>2</v>
      </c>
      <c r="B3" s="27" t="s">
        <v>95</v>
      </c>
      <c r="C3" s="11" t="s">
        <v>96</v>
      </c>
      <c r="D3" s="45" t="s">
        <v>97</v>
      </c>
      <c r="E3" s="12" t="s">
        <v>10</v>
      </c>
      <c r="F3" s="43">
        <v>0.57999999999999996</v>
      </c>
      <c r="G3" s="11">
        <v>1</v>
      </c>
      <c r="H3" s="43">
        <f>Table3[[#This Row],[Qty]]*Table3[[#This Row],[Unit Cost]]</f>
        <v>0.57999999999999996</v>
      </c>
      <c r="I3" s="28"/>
    </row>
    <row r="4" spans="1:9">
      <c r="A4" s="26">
        <v>3</v>
      </c>
      <c r="B4" s="27" t="s">
        <v>99</v>
      </c>
      <c r="C4" s="11" t="s">
        <v>98</v>
      </c>
      <c r="D4" s="45" t="s">
        <v>100</v>
      </c>
      <c r="E4" s="12" t="s">
        <v>10</v>
      </c>
      <c r="F4" s="43">
        <v>0.5</v>
      </c>
      <c r="G4" s="11">
        <v>1</v>
      </c>
      <c r="H4" s="43">
        <f>Table3[[#This Row],[Qty]]*Table3[[#This Row],[Unit Cost]]</f>
        <v>0.5</v>
      </c>
      <c r="I4" s="28"/>
    </row>
    <row r="5" spans="1:9">
      <c r="A5" s="26">
        <v>4</v>
      </c>
      <c r="B5" s="27" t="s">
        <v>36</v>
      </c>
      <c r="C5" s="11" t="s">
        <v>92</v>
      </c>
      <c r="D5" s="45" t="s">
        <v>93</v>
      </c>
      <c r="E5" s="12" t="s">
        <v>10</v>
      </c>
      <c r="F5" s="43">
        <v>0.62</v>
      </c>
      <c r="G5" s="11">
        <v>1</v>
      </c>
      <c r="H5" s="43">
        <f>Table3[[#This Row],[Qty]]*Table3[[#This Row],[Unit Cost]]</f>
        <v>0.62</v>
      </c>
      <c r="I5" s="28"/>
    </row>
    <row r="6" spans="1:9">
      <c r="A6" s="26">
        <v>5</v>
      </c>
      <c r="B6" s="27" t="s">
        <v>19</v>
      </c>
      <c r="C6" s="11" t="s">
        <v>110</v>
      </c>
      <c r="D6" s="27" t="s">
        <v>111</v>
      </c>
      <c r="E6" s="12" t="s">
        <v>40</v>
      </c>
      <c r="F6" s="43">
        <v>0.13</v>
      </c>
      <c r="G6" s="11">
        <v>1</v>
      </c>
      <c r="H6" s="43">
        <f>Table3[[#This Row],[Qty]]*Table3[[#This Row],[Unit Cost]]</f>
        <v>0.13</v>
      </c>
      <c r="I6" s="28" t="s">
        <v>142</v>
      </c>
    </row>
    <row r="7" spans="1:9">
      <c r="A7" s="26">
        <v>6</v>
      </c>
      <c r="B7" s="31" t="s">
        <v>19</v>
      </c>
      <c r="C7" s="17" t="s">
        <v>80</v>
      </c>
      <c r="D7" s="31" t="s">
        <v>120</v>
      </c>
      <c r="E7" s="18" t="s">
        <v>40</v>
      </c>
      <c r="F7" s="43">
        <v>0.1</v>
      </c>
      <c r="G7" s="17">
        <v>1</v>
      </c>
      <c r="H7" s="43">
        <f>Table3[[#This Row],[Qty]]*Table3[[#This Row],[Unit Cost]]</f>
        <v>0.1</v>
      </c>
      <c r="I7" s="28"/>
    </row>
    <row r="8" spans="1:9">
      <c r="A8" s="26">
        <v>7</v>
      </c>
      <c r="B8" s="27" t="s">
        <v>28</v>
      </c>
      <c r="C8" s="11" t="s">
        <v>118</v>
      </c>
      <c r="D8" s="45" t="s">
        <v>119</v>
      </c>
      <c r="E8" s="12" t="s">
        <v>10</v>
      </c>
      <c r="F8" s="43">
        <v>0.1</v>
      </c>
      <c r="G8" s="11">
        <v>1</v>
      </c>
      <c r="H8" s="43">
        <f>Table3[[#This Row],[Qty]]*Table3[[#This Row],[Unit Cost]]</f>
        <v>0.1</v>
      </c>
      <c r="I8" s="28" t="s">
        <v>141</v>
      </c>
    </row>
    <row r="9" spans="1:9">
      <c r="A9" s="26">
        <v>8</v>
      </c>
      <c r="B9" s="27" t="s">
        <v>28</v>
      </c>
      <c r="C9" s="11" t="s">
        <v>124</v>
      </c>
      <c r="D9" s="45" t="s">
        <v>125</v>
      </c>
      <c r="E9" s="12" t="s">
        <v>10</v>
      </c>
      <c r="F9" s="43">
        <v>0.67</v>
      </c>
      <c r="G9" s="11">
        <v>1</v>
      </c>
      <c r="H9" s="43">
        <f>Table3[[#This Row],[Qty]]*Table3[[#This Row],[Unit Cost]]</f>
        <v>0.67</v>
      </c>
      <c r="I9" s="28" t="s">
        <v>126</v>
      </c>
    </row>
    <row r="10" spans="1:9">
      <c r="A10" s="26">
        <v>9</v>
      </c>
      <c r="B10" s="27" t="s">
        <v>28</v>
      </c>
      <c r="C10" s="53" t="s">
        <v>127</v>
      </c>
      <c r="D10" s="45" t="s">
        <v>128</v>
      </c>
      <c r="E10" s="12" t="s">
        <v>10</v>
      </c>
      <c r="F10" s="43">
        <v>0.1</v>
      </c>
      <c r="G10" s="11">
        <v>1</v>
      </c>
      <c r="H10" s="43">
        <f>Table3[[#This Row],[Qty]]*Table3[[#This Row],[Unit Cost]]</f>
        <v>0.1</v>
      </c>
      <c r="I10" s="28" t="s">
        <v>129</v>
      </c>
    </row>
    <row r="11" spans="1:9">
      <c r="A11" s="26">
        <v>10</v>
      </c>
      <c r="B11" s="27" t="s">
        <v>28</v>
      </c>
      <c r="C11" s="11" t="s">
        <v>130</v>
      </c>
      <c r="D11" s="45" t="s">
        <v>131</v>
      </c>
      <c r="E11" s="12" t="s">
        <v>10</v>
      </c>
      <c r="F11" s="43">
        <v>0.1</v>
      </c>
      <c r="G11" s="11">
        <v>1</v>
      </c>
      <c r="H11" s="43">
        <f>Table3[[#This Row],[Qty]]*Table3[[#This Row],[Unit Cost]]</f>
        <v>0.1</v>
      </c>
      <c r="I11" s="28" t="s">
        <v>132</v>
      </c>
    </row>
    <row r="12" spans="1:9">
      <c r="A12" s="26">
        <v>11</v>
      </c>
      <c r="B12" s="27" t="s">
        <v>28</v>
      </c>
      <c r="C12" s="11" t="s">
        <v>133</v>
      </c>
      <c r="D12" s="45" t="s">
        <v>134</v>
      </c>
      <c r="E12" s="12" t="s">
        <v>10</v>
      </c>
      <c r="F12" s="43">
        <v>0.1</v>
      </c>
      <c r="G12" s="11">
        <v>1</v>
      </c>
      <c r="H12" s="43">
        <f>Table3[[#This Row],[Qty]]*Table3[[#This Row],[Unit Cost]]</f>
        <v>0.1</v>
      </c>
      <c r="I12" s="28" t="s">
        <v>135</v>
      </c>
    </row>
    <row r="13" spans="1:9">
      <c r="A13" s="26">
        <v>12</v>
      </c>
      <c r="B13" s="27" t="s">
        <v>28</v>
      </c>
      <c r="C13" s="11" t="s">
        <v>137</v>
      </c>
      <c r="D13" s="45" t="s">
        <v>138</v>
      </c>
      <c r="E13" s="12" t="s">
        <v>10</v>
      </c>
      <c r="F13" s="43">
        <v>0.1</v>
      </c>
      <c r="G13" s="11">
        <v>1</v>
      </c>
      <c r="H13" s="43">
        <f>Table3[[#This Row],[Qty]]*Table3[[#This Row],[Unit Cost]]</f>
        <v>0.1</v>
      </c>
      <c r="I13" s="28" t="s">
        <v>136</v>
      </c>
    </row>
    <row r="14" spans="1:9">
      <c r="A14" s="26">
        <v>13</v>
      </c>
      <c r="B14" s="27" t="s">
        <v>28</v>
      </c>
      <c r="C14" s="11" t="s">
        <v>140</v>
      </c>
      <c r="D14" s="45" t="s">
        <v>139</v>
      </c>
      <c r="E14" s="12" t="s">
        <v>10</v>
      </c>
      <c r="F14" s="43">
        <v>0.1</v>
      </c>
      <c r="G14" s="11">
        <v>1</v>
      </c>
      <c r="H14" s="43">
        <f>Table3[[#This Row],[Qty]]*Table3[[#This Row],[Unit Cost]]</f>
        <v>0.1</v>
      </c>
      <c r="I14" s="28"/>
    </row>
    <row r="15" spans="1:9">
      <c r="A15" s="30"/>
      <c r="B15" s="31"/>
      <c r="C15" s="17"/>
      <c r="D15" s="64"/>
      <c r="E15" s="18"/>
      <c r="F15" s="44"/>
      <c r="G15" s="17"/>
      <c r="H15" s="44">
        <f>SUM(H2:H14)</f>
        <v>14.499999999999998</v>
      </c>
      <c r="I15" s="33"/>
    </row>
  </sheetData>
  <hyperlinks>
    <hyperlink ref="E2" r:id="rId1"/>
    <hyperlink ref="E3" r:id="rId2"/>
    <hyperlink ref="E5:E14" r:id="rId3" display="Digikey"/>
    <hyperlink ref="E8" r:id="rId4"/>
    <hyperlink ref="E14" r:id="rId5"/>
    <hyperlink ref="E5" r:id="rId6"/>
    <hyperlink ref="E4" r:id="rId7"/>
    <hyperlink ref="E6" r:id="rId8"/>
    <hyperlink ref="E7" r:id="rId9"/>
    <hyperlink ref="E9" r:id="rId10"/>
    <hyperlink ref="E10" r:id="rId11"/>
    <hyperlink ref="E11" r:id="rId12"/>
    <hyperlink ref="E12" r:id="rId13"/>
    <hyperlink ref="E13" r:id="rId14"/>
  </hyperlinks>
  <pageMargins left="0.7" right="0.7" top="0.75" bottom="0.75" header="0.3" footer="0.3"/>
  <pageSetup orientation="portrait" horizontalDpi="300" verticalDpi="300" r:id="rId15"/>
  <tableParts count="1">
    <tablePart r:id="rId1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8"/>
  <sheetViews>
    <sheetView tabSelected="1" workbookViewId="0">
      <selection activeCell="D12" sqref="D12"/>
    </sheetView>
  </sheetViews>
  <sheetFormatPr defaultRowHeight="15"/>
  <cols>
    <col min="1" max="1" width="6.28515625" customWidth="1"/>
    <col min="2" max="2" width="23" customWidth="1"/>
    <col min="3" max="3" width="27" customWidth="1"/>
    <col min="4" max="4" width="50" bestFit="1" customWidth="1"/>
    <col min="5" max="5" width="11.85546875" bestFit="1" customWidth="1"/>
    <col min="6" max="6" width="11.28515625" customWidth="1"/>
    <col min="8" max="8" width="12.85546875" customWidth="1"/>
    <col min="9" max="9" width="10.7109375" customWidth="1"/>
  </cols>
  <sheetData>
    <row r="1" spans="1:9">
      <c r="A1" s="34" t="s">
        <v>0</v>
      </c>
      <c r="B1" s="35" t="s">
        <v>1</v>
      </c>
      <c r="C1" s="22" t="s">
        <v>7</v>
      </c>
      <c r="D1" s="22" t="s">
        <v>2</v>
      </c>
      <c r="E1" s="22" t="s">
        <v>3</v>
      </c>
      <c r="F1" s="22" t="s">
        <v>4</v>
      </c>
      <c r="G1" s="22" t="s">
        <v>11</v>
      </c>
      <c r="H1" s="22" t="s">
        <v>12</v>
      </c>
      <c r="I1" s="36" t="s">
        <v>5</v>
      </c>
    </row>
    <row r="2" spans="1:9">
      <c r="A2" s="26">
        <v>1</v>
      </c>
      <c r="B2" s="27" t="s">
        <v>45</v>
      </c>
      <c r="C2" s="11">
        <v>412</v>
      </c>
      <c r="D2" s="27" t="s">
        <v>46</v>
      </c>
      <c r="E2" s="12" t="s">
        <v>40</v>
      </c>
      <c r="F2" s="48">
        <v>7.5</v>
      </c>
      <c r="G2" s="11">
        <v>1</v>
      </c>
      <c r="H2" s="48">
        <f>Table6[[#This Row],[Unit Cost]]*Table6[[#This Row],[Qty]]</f>
        <v>7.5</v>
      </c>
      <c r="I2" s="15"/>
    </row>
    <row r="3" spans="1:9">
      <c r="A3" s="26">
        <v>2</v>
      </c>
      <c r="B3" s="27" t="s">
        <v>47</v>
      </c>
      <c r="C3" s="11" t="s">
        <v>49</v>
      </c>
      <c r="D3" s="50" t="s">
        <v>101</v>
      </c>
      <c r="E3" s="12" t="s">
        <v>48</v>
      </c>
      <c r="F3" s="43">
        <v>3.29</v>
      </c>
      <c r="G3" s="11">
        <v>1</v>
      </c>
      <c r="H3" s="48">
        <f>Table6[[#This Row],[Unit Cost]]*Table6[[#This Row],[Qty]]</f>
        <v>3.29</v>
      </c>
      <c r="I3" s="15"/>
    </row>
    <row r="4" spans="1:9">
      <c r="A4" s="26">
        <v>3</v>
      </c>
      <c r="B4" s="27" t="s">
        <v>102</v>
      </c>
      <c r="C4" s="11" t="s">
        <v>53</v>
      </c>
      <c r="D4" s="51" t="s">
        <v>54</v>
      </c>
      <c r="E4" s="12" t="s">
        <v>55</v>
      </c>
      <c r="F4" s="43">
        <v>16</v>
      </c>
      <c r="G4" s="11">
        <v>4</v>
      </c>
      <c r="H4" s="48">
        <f>Table6[[#This Row],[Unit Cost]]*Table6[[#This Row],[Qty]]</f>
        <v>64</v>
      </c>
      <c r="I4" s="15"/>
    </row>
    <row r="5" spans="1:9">
      <c r="A5" s="26">
        <v>4</v>
      </c>
      <c r="B5" s="52" t="s">
        <v>50</v>
      </c>
      <c r="C5" s="11" t="s">
        <v>53</v>
      </c>
      <c r="D5" s="27" t="s">
        <v>52</v>
      </c>
      <c r="E5" s="12" t="s">
        <v>51</v>
      </c>
      <c r="F5" s="43">
        <v>10.99</v>
      </c>
      <c r="G5" s="11">
        <v>4</v>
      </c>
      <c r="H5" s="48">
        <f>Table6[[#This Row],[Unit Cost]]*Table6[[#This Row],[Qty]]</f>
        <v>43.96</v>
      </c>
      <c r="I5" s="15"/>
    </row>
    <row r="6" spans="1:9">
      <c r="A6" s="30">
        <v>5</v>
      </c>
      <c r="B6" s="52" t="s">
        <v>155</v>
      </c>
      <c r="C6" s="17" t="s">
        <v>148</v>
      </c>
      <c r="D6" s="31" t="s">
        <v>149</v>
      </c>
      <c r="E6" s="18" t="s">
        <v>40</v>
      </c>
      <c r="F6" s="44">
        <v>4.87</v>
      </c>
      <c r="G6" s="17">
        <v>4</v>
      </c>
      <c r="H6" s="48">
        <f>Table6[[#This Row],[Unit Cost]]*Table6[[#This Row],[Qty]]</f>
        <v>19.48</v>
      </c>
      <c r="I6" s="21"/>
    </row>
    <row r="7" spans="1:9">
      <c r="A7" s="30"/>
      <c r="B7" s="68" t="s">
        <v>146</v>
      </c>
      <c r="C7" s="17" t="s">
        <v>53</v>
      </c>
      <c r="D7" s="65" t="s">
        <v>147</v>
      </c>
      <c r="E7" s="18" t="s">
        <v>51</v>
      </c>
      <c r="F7" s="44">
        <v>17.21</v>
      </c>
      <c r="G7" s="17">
        <v>2</v>
      </c>
      <c r="H7" s="48">
        <f>Table6[[#This Row],[Unit Cost]]*Table6[[#This Row],[Qty]]</f>
        <v>34.42</v>
      </c>
      <c r="I7" s="21"/>
    </row>
    <row r="8" spans="1:9">
      <c r="A8" s="30"/>
      <c r="B8" s="74"/>
      <c r="C8" s="17"/>
      <c r="D8" s="65"/>
      <c r="E8" s="75"/>
      <c r="F8" s="44"/>
      <c r="G8" s="17"/>
      <c r="H8" s="66">
        <f>SUM(H2:H7)</f>
        <v>172.64999999999998</v>
      </c>
      <c r="I8" s="21"/>
    </row>
  </sheetData>
  <hyperlinks>
    <hyperlink ref="E3" r:id="rId1"/>
    <hyperlink ref="E2" r:id="rId2"/>
    <hyperlink ref="E5" r:id="rId3"/>
    <hyperlink ref="E4" r:id="rId4"/>
    <hyperlink ref="E7" r:id="rId5"/>
    <hyperlink ref="E6" r:id="rId6"/>
  </hyperlinks>
  <pageMargins left="0.7" right="0.7" top="0.75" bottom="0.75" header="0.3" footer="0.3"/>
  <pageSetup orientation="portrait" horizontalDpi="300" verticalDpi="300" r:id="rId7"/>
  <drawing r:id="rId8"/>
  <legacyDrawing r:id="rId9"/>
  <tableParts count="1">
    <tablePart r:id="rId10"/>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5"/>
  <sheetViews>
    <sheetView workbookViewId="0">
      <selection activeCell="E2" sqref="E2"/>
    </sheetView>
  </sheetViews>
  <sheetFormatPr defaultRowHeight="15"/>
  <cols>
    <col min="1" max="1" width="5.140625" bestFit="1" customWidth="1"/>
    <col min="2" max="2" width="19.85546875" bestFit="1" customWidth="1"/>
    <col min="3" max="3" width="18.5703125" customWidth="1"/>
    <col min="4" max="4" width="37.7109375" customWidth="1"/>
    <col min="5" max="5" width="14" customWidth="1"/>
    <col min="6" max="6" width="11.28515625" customWidth="1"/>
    <col min="7" max="7" width="6.42578125" customWidth="1"/>
    <col min="8" max="8" width="11.85546875" customWidth="1"/>
    <col min="9" max="9" width="10.7109375" customWidth="1"/>
  </cols>
  <sheetData>
    <row r="1" spans="1:9">
      <c r="A1" s="34" t="s">
        <v>0</v>
      </c>
      <c r="B1" s="55" t="s">
        <v>1</v>
      </c>
      <c r="C1" s="22" t="s">
        <v>7</v>
      </c>
      <c r="D1" s="55" t="s">
        <v>2</v>
      </c>
      <c r="E1" s="22" t="s">
        <v>3</v>
      </c>
      <c r="F1" s="22" t="s">
        <v>4</v>
      </c>
      <c r="G1" s="22" t="s">
        <v>11</v>
      </c>
      <c r="H1" s="22" t="s">
        <v>12</v>
      </c>
      <c r="I1" s="56" t="s">
        <v>5</v>
      </c>
    </row>
    <row r="2" spans="1:9">
      <c r="A2" s="46">
        <v>1</v>
      </c>
      <c r="B2" s="57" t="s">
        <v>121</v>
      </c>
      <c r="C2" s="47"/>
      <c r="D2" s="57" t="s">
        <v>122</v>
      </c>
      <c r="E2" s="60" t="s">
        <v>123</v>
      </c>
      <c r="F2" s="54">
        <v>36.99</v>
      </c>
      <c r="G2" s="58">
        <v>1</v>
      </c>
      <c r="H2" s="54">
        <f>G2*F2</f>
        <v>36.99</v>
      </c>
      <c r="I2" s="49"/>
    </row>
    <row r="3" spans="1:9">
      <c r="A3" s="26">
        <v>2</v>
      </c>
      <c r="B3" s="27" t="s">
        <v>16</v>
      </c>
      <c r="C3" s="11" t="s">
        <v>17</v>
      </c>
      <c r="D3" s="27" t="s">
        <v>18</v>
      </c>
      <c r="E3" s="12" t="s">
        <v>40</v>
      </c>
      <c r="F3" s="43">
        <v>1.04</v>
      </c>
      <c r="G3" s="11">
        <v>1</v>
      </c>
      <c r="H3" s="61">
        <f>G3*F3</f>
        <v>1.04</v>
      </c>
      <c r="I3" s="15"/>
    </row>
    <row r="4" spans="1:9">
      <c r="A4" s="30">
        <v>3</v>
      </c>
      <c r="B4" s="31" t="s">
        <v>143</v>
      </c>
      <c r="C4" s="17" t="s">
        <v>144</v>
      </c>
      <c r="D4" s="31" t="s">
        <v>145</v>
      </c>
      <c r="E4" s="18" t="s">
        <v>40</v>
      </c>
      <c r="F4" s="44">
        <v>1.1200000000000001</v>
      </c>
      <c r="G4" s="17">
        <v>1</v>
      </c>
      <c r="H4" s="59">
        <f>G4*F4</f>
        <v>1.1200000000000001</v>
      </c>
      <c r="I4" s="21"/>
    </row>
    <row r="5" spans="1:9">
      <c r="A5" s="62"/>
      <c r="B5" s="16"/>
      <c r="C5" s="16"/>
      <c r="D5" s="16"/>
      <c r="E5" s="16"/>
      <c r="F5" s="16"/>
      <c r="G5" s="16"/>
      <c r="H5" s="67">
        <f>SUM(H2:H4)</f>
        <v>39.15</v>
      </c>
      <c r="I5" s="21"/>
    </row>
  </sheetData>
  <hyperlinks>
    <hyperlink ref="E4" r:id="rId1"/>
    <hyperlink ref="E2" r:id="rId2"/>
    <hyperlink ref="E3" r:id="rId3"/>
  </hyperlinks>
  <pageMargins left="0.7" right="0.7" top="0.75" bottom="0.75" header="0.3" footer="0.3"/>
  <drawing r:id="rId4"/>
  <legacyDrawing r:id="rId5"/>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election activeCell="C23" sqref="C23"/>
    </sheetView>
  </sheetViews>
  <sheetFormatPr defaultRowHeight="15"/>
  <cols>
    <col min="1" max="1" width="5.140625" bestFit="1" customWidth="1"/>
    <col min="2" max="2" width="22" customWidth="1"/>
    <col min="3" max="3" width="25.140625" customWidth="1"/>
    <col min="4" max="4" width="52.28515625" bestFit="1" customWidth="1"/>
    <col min="5" max="5" width="12.85546875" customWidth="1"/>
    <col min="6" max="6" width="11.28515625" customWidth="1"/>
    <col min="8" max="8" width="12.85546875" customWidth="1"/>
    <col min="9" max="9" width="12.28515625" customWidth="1"/>
  </cols>
  <sheetData>
    <row r="1" spans="1:9">
      <c r="A1" s="34" t="s">
        <v>0</v>
      </c>
      <c r="B1" s="22" t="s">
        <v>1</v>
      </c>
      <c r="C1" s="22" t="s">
        <v>7</v>
      </c>
      <c r="D1" s="35" t="s">
        <v>2</v>
      </c>
      <c r="E1" s="22" t="s">
        <v>3</v>
      </c>
      <c r="F1" s="22" t="s">
        <v>4</v>
      </c>
      <c r="G1" s="22" t="s">
        <v>11</v>
      </c>
      <c r="H1" s="22" t="s">
        <v>12</v>
      </c>
      <c r="I1" s="36" t="s">
        <v>5</v>
      </c>
    </row>
    <row r="2" spans="1:9">
      <c r="A2" s="26">
        <v>1</v>
      </c>
      <c r="B2" s="27" t="s">
        <v>103</v>
      </c>
      <c r="C2" s="11" t="s">
        <v>56</v>
      </c>
      <c r="D2" s="27" t="s">
        <v>57</v>
      </c>
      <c r="E2" s="12" t="s">
        <v>40</v>
      </c>
      <c r="F2" s="43">
        <v>0.83</v>
      </c>
      <c r="G2" s="11">
        <v>1</v>
      </c>
      <c r="H2" s="43">
        <f>Table9[[#This Row],[Qty]]*Table9[[#This Row],[Unit Cost]]</f>
        <v>0.83</v>
      </c>
      <c r="I2" s="15"/>
    </row>
    <row r="3" spans="1:9">
      <c r="A3" s="26">
        <v>2</v>
      </c>
      <c r="B3" s="27" t="s">
        <v>103</v>
      </c>
      <c r="C3" s="11" t="s">
        <v>58</v>
      </c>
      <c r="D3" s="27" t="s">
        <v>59</v>
      </c>
      <c r="E3" s="12" t="s">
        <v>40</v>
      </c>
      <c r="F3" s="43">
        <v>0.77</v>
      </c>
      <c r="G3" s="11">
        <v>1</v>
      </c>
      <c r="H3" s="43">
        <f>Table9[[#This Row],[Qty]]*Table9[[#This Row],[Unit Cost]]</f>
        <v>0.77</v>
      </c>
      <c r="I3" s="15"/>
    </row>
    <row r="4" spans="1:9">
      <c r="A4" s="26">
        <v>3</v>
      </c>
      <c r="B4" s="27" t="s">
        <v>19</v>
      </c>
      <c r="C4" s="11" t="s">
        <v>110</v>
      </c>
      <c r="D4" s="27" t="s">
        <v>111</v>
      </c>
      <c r="E4" s="12" t="s">
        <v>40</v>
      </c>
      <c r="F4" s="43">
        <v>0.13</v>
      </c>
      <c r="G4" s="11">
        <v>1</v>
      </c>
      <c r="H4" s="43">
        <f>Table9[[#This Row],[Qty]]*Table9[[#This Row],[Unit Cost]]</f>
        <v>0.13</v>
      </c>
      <c r="I4" s="15" t="s">
        <v>65</v>
      </c>
    </row>
    <row r="5" spans="1:9">
      <c r="A5" s="26">
        <v>4</v>
      </c>
      <c r="B5" s="27" t="s">
        <v>19</v>
      </c>
      <c r="C5" s="11" t="s">
        <v>112</v>
      </c>
      <c r="D5" s="27" t="s">
        <v>113</v>
      </c>
      <c r="E5" s="12" t="s">
        <v>40</v>
      </c>
      <c r="F5" s="43">
        <v>0.25</v>
      </c>
      <c r="G5" s="11">
        <v>1</v>
      </c>
      <c r="H5" s="43">
        <f>Table9[[#This Row],[Qty]]*Table9[[#This Row],[Unit Cost]]</f>
        <v>0.25</v>
      </c>
      <c r="I5" s="15" t="s">
        <v>66</v>
      </c>
    </row>
    <row r="6" spans="1:9">
      <c r="A6" s="26">
        <v>5</v>
      </c>
      <c r="B6" s="27" t="s">
        <v>19</v>
      </c>
      <c r="C6" s="11" t="s">
        <v>114</v>
      </c>
      <c r="D6" s="27" t="s">
        <v>115</v>
      </c>
      <c r="E6" s="12" t="s">
        <v>10</v>
      </c>
      <c r="F6" s="43">
        <v>0.11</v>
      </c>
      <c r="G6" s="11">
        <v>1</v>
      </c>
      <c r="H6" s="43">
        <f>Table9[[#This Row],[Qty]]*Table9[[#This Row],[Unit Cost]]</f>
        <v>0.11</v>
      </c>
      <c r="I6" s="15"/>
    </row>
    <row r="7" spans="1:9">
      <c r="A7" s="26">
        <v>6</v>
      </c>
      <c r="B7" s="27" t="s">
        <v>28</v>
      </c>
      <c r="C7" s="11" t="s">
        <v>69</v>
      </c>
      <c r="D7" s="27" t="s">
        <v>70</v>
      </c>
      <c r="E7" s="12" t="s">
        <v>40</v>
      </c>
      <c r="F7" s="43">
        <v>0.1</v>
      </c>
      <c r="G7" s="11">
        <v>1</v>
      </c>
      <c r="H7" s="43">
        <f>Table9[[#This Row],[Qty]]*Table9[[#This Row],[Unit Cost]]</f>
        <v>0.1</v>
      </c>
      <c r="I7" s="15" t="s">
        <v>67</v>
      </c>
    </row>
    <row r="8" spans="1:9">
      <c r="A8" s="26">
        <v>7</v>
      </c>
      <c r="B8" s="31" t="s">
        <v>28</v>
      </c>
      <c r="C8" s="17" t="s">
        <v>116</v>
      </c>
      <c r="D8" s="31" t="s">
        <v>117</v>
      </c>
      <c r="E8" s="18" t="s">
        <v>40</v>
      </c>
      <c r="F8" s="44">
        <v>0.1</v>
      </c>
      <c r="G8" s="17">
        <v>1</v>
      </c>
      <c r="H8" s="43">
        <f>Table9[[#This Row],[Qty]]*Table9[[#This Row],[Unit Cost]]</f>
        <v>0.1</v>
      </c>
      <c r="I8" s="21" t="s">
        <v>68</v>
      </c>
    </row>
    <row r="9" spans="1:9">
      <c r="A9" s="30"/>
      <c r="B9" s="31"/>
      <c r="C9" s="17"/>
      <c r="D9" s="31"/>
      <c r="E9" s="18"/>
      <c r="F9" s="44"/>
      <c r="G9" s="17"/>
      <c r="H9" s="44">
        <f>SUM(H2:H8)</f>
        <v>2.29</v>
      </c>
      <c r="I9" s="21"/>
    </row>
  </sheetData>
  <hyperlinks>
    <hyperlink ref="E2" r:id="rId1"/>
    <hyperlink ref="E3" r:id="rId2"/>
    <hyperlink ref="E7" r:id="rId3"/>
    <hyperlink ref="E4" r:id="rId4"/>
    <hyperlink ref="E5" r:id="rId5"/>
    <hyperlink ref="E6" r:id="rId6"/>
    <hyperlink ref="E8" r:id="rId7"/>
  </hyperlinks>
  <pageMargins left="0.7" right="0.7" top="0.75" bottom="0.75" header="0.3" footer="0.3"/>
  <pageSetup orientation="portrait" horizontalDpi="300" verticalDpi="300" r:id="rId8"/>
  <tableParts count="1">
    <tablePart r:id="rId9"/>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7"/>
  <sheetViews>
    <sheetView workbookViewId="0">
      <selection activeCell="E15" sqref="E15"/>
    </sheetView>
  </sheetViews>
  <sheetFormatPr defaultRowHeight="15"/>
  <cols>
    <col min="1" max="1" width="8.85546875" customWidth="1"/>
    <col min="2" max="2" width="22" customWidth="1"/>
    <col min="3" max="3" width="28.85546875" customWidth="1"/>
    <col min="4" max="4" width="60.7109375" bestFit="1" customWidth="1"/>
    <col min="5" max="5" width="16" customWidth="1"/>
    <col min="6" max="6" width="11.28515625" customWidth="1"/>
    <col min="8" max="8" width="9.7109375" bestFit="1" customWidth="1"/>
    <col min="9" max="9" width="13.28515625" customWidth="1"/>
  </cols>
  <sheetData>
    <row r="1" spans="1:9">
      <c r="A1" s="34" t="s">
        <v>0</v>
      </c>
      <c r="B1" s="22" t="s">
        <v>1</v>
      </c>
      <c r="C1" s="22" t="s">
        <v>7</v>
      </c>
      <c r="D1" s="35" t="s">
        <v>2</v>
      </c>
      <c r="E1" s="22" t="s">
        <v>3</v>
      </c>
      <c r="F1" s="22" t="s">
        <v>4</v>
      </c>
      <c r="G1" s="22" t="s">
        <v>11</v>
      </c>
      <c r="H1" s="22" t="s">
        <v>12</v>
      </c>
      <c r="I1" s="36" t="s">
        <v>5</v>
      </c>
    </row>
    <row r="2" spans="1:9">
      <c r="A2" s="26">
        <v>1</v>
      </c>
      <c r="B2" s="11" t="s">
        <v>35</v>
      </c>
      <c r="C2" s="11" t="s">
        <v>71</v>
      </c>
      <c r="D2" s="27" t="s">
        <v>104</v>
      </c>
      <c r="E2" s="12" t="s">
        <v>40</v>
      </c>
      <c r="F2" s="43">
        <v>2.08</v>
      </c>
      <c r="G2" s="11">
        <v>1</v>
      </c>
      <c r="H2" s="43">
        <f>Table10[[#This Row],[Qty]]*Table10[[#This Row],[Unit Cost]]</f>
        <v>2.08</v>
      </c>
      <c r="I2" s="15"/>
    </row>
    <row r="3" spans="1:9">
      <c r="A3" s="26">
        <v>2</v>
      </c>
      <c r="B3" s="11" t="s">
        <v>39</v>
      </c>
      <c r="C3" s="11" t="s">
        <v>41</v>
      </c>
      <c r="D3" s="27" t="s">
        <v>153</v>
      </c>
      <c r="E3" s="12" t="s">
        <v>42</v>
      </c>
      <c r="F3" s="43">
        <v>1.9</v>
      </c>
      <c r="G3" s="11">
        <v>2</v>
      </c>
      <c r="H3" s="43">
        <f>Table10[[#This Row],[Qty]]*Table10[[#This Row],[Unit Cost]]</f>
        <v>3.8</v>
      </c>
      <c r="I3" s="15"/>
    </row>
    <row r="4" spans="1:9">
      <c r="A4" s="26">
        <v>3</v>
      </c>
      <c r="B4" s="11" t="s">
        <v>107</v>
      </c>
      <c r="C4" s="11" t="s">
        <v>108</v>
      </c>
      <c r="D4" s="27" t="s">
        <v>109</v>
      </c>
      <c r="E4" s="12" t="s">
        <v>10</v>
      </c>
      <c r="F4" s="43">
        <v>3.95</v>
      </c>
      <c r="G4" s="11">
        <v>2</v>
      </c>
      <c r="H4" s="43">
        <f>Table10[[#This Row],[Qty]]*Table10[[#This Row],[Unit Cost]]</f>
        <v>7.9</v>
      </c>
      <c r="I4" s="15"/>
    </row>
    <row r="5" spans="1:9">
      <c r="A5" s="26">
        <v>4</v>
      </c>
      <c r="B5" s="11" t="s">
        <v>106</v>
      </c>
      <c r="C5" s="11" t="s">
        <v>72</v>
      </c>
      <c r="D5" s="27" t="s">
        <v>75</v>
      </c>
      <c r="E5" s="12" t="s">
        <v>40</v>
      </c>
      <c r="F5" s="43">
        <v>0.98</v>
      </c>
      <c r="G5" s="11">
        <v>4</v>
      </c>
      <c r="H5" s="43">
        <f>Table10[[#This Row],[Qty]]*Table10[[#This Row],[Unit Cost]]</f>
        <v>3.92</v>
      </c>
      <c r="I5" s="15"/>
    </row>
    <row r="6" spans="1:9">
      <c r="A6" s="26">
        <v>5</v>
      </c>
      <c r="B6" s="11" t="s">
        <v>28</v>
      </c>
      <c r="C6" s="11" t="s">
        <v>73</v>
      </c>
      <c r="D6" s="27" t="s">
        <v>74</v>
      </c>
      <c r="E6" s="12" t="s">
        <v>40</v>
      </c>
      <c r="F6" s="43">
        <v>0.1</v>
      </c>
      <c r="G6" s="11">
        <v>1</v>
      </c>
      <c r="H6" s="43">
        <f>Table10[[#This Row],[Qty]]*Table10[[#This Row],[Unit Cost]]</f>
        <v>0.1</v>
      </c>
      <c r="I6" s="15"/>
    </row>
    <row r="7" spans="1:9">
      <c r="A7" s="26">
        <v>6</v>
      </c>
      <c r="B7" s="11" t="s">
        <v>105</v>
      </c>
      <c r="C7" s="11" t="s">
        <v>76</v>
      </c>
      <c r="D7" s="27" t="s">
        <v>77</v>
      </c>
      <c r="E7" s="12" t="s">
        <v>40</v>
      </c>
      <c r="F7" s="43">
        <v>0.53</v>
      </c>
      <c r="G7" s="11">
        <v>1</v>
      </c>
      <c r="H7" s="43">
        <f>Table10[[#This Row],[Qty]]*Table10[[#This Row],[Unit Cost]]</f>
        <v>0.53</v>
      </c>
      <c r="I7" s="15"/>
    </row>
    <row r="8" spans="1:9">
      <c r="A8" s="26">
        <v>7</v>
      </c>
      <c r="B8" s="11" t="s">
        <v>19</v>
      </c>
      <c r="C8" s="11" t="s">
        <v>43</v>
      </c>
      <c r="D8" s="27" t="s">
        <v>44</v>
      </c>
      <c r="E8" s="12" t="s">
        <v>10</v>
      </c>
      <c r="F8" s="43">
        <v>0.41</v>
      </c>
      <c r="G8" s="11">
        <v>1</v>
      </c>
      <c r="H8" s="43">
        <f>Table10[[#This Row],[Qty]]*Table10[[#This Row],[Unit Cost]]</f>
        <v>0.41</v>
      </c>
      <c r="I8" s="15"/>
    </row>
    <row r="9" spans="1:9">
      <c r="A9" s="26">
        <v>8</v>
      </c>
      <c r="B9" s="11" t="s">
        <v>19</v>
      </c>
      <c r="C9" s="11" t="s">
        <v>78</v>
      </c>
      <c r="D9" s="27" t="s">
        <v>79</v>
      </c>
      <c r="E9" s="12" t="s">
        <v>40</v>
      </c>
      <c r="F9" s="43">
        <v>0.32</v>
      </c>
      <c r="G9" s="11">
        <v>2</v>
      </c>
      <c r="H9" s="43">
        <f>Table10[[#This Row],[Qty]]*Table10[[#This Row],[Unit Cost]]</f>
        <v>0.64</v>
      </c>
      <c r="I9" s="15"/>
    </row>
    <row r="10" spans="1:9">
      <c r="A10" s="30">
        <v>9</v>
      </c>
      <c r="B10" s="17" t="s">
        <v>19</v>
      </c>
      <c r="C10" s="17" t="s">
        <v>80</v>
      </c>
      <c r="D10" s="31" t="s">
        <v>81</v>
      </c>
      <c r="E10" s="18" t="s">
        <v>40</v>
      </c>
      <c r="F10" s="43">
        <v>0.1</v>
      </c>
      <c r="G10" s="17">
        <v>3</v>
      </c>
      <c r="H10" s="43">
        <f>Table10[[#This Row],[Qty]]*Table10[[#This Row],[Unit Cost]]</f>
        <v>0.30000000000000004</v>
      </c>
      <c r="I10" s="21"/>
    </row>
    <row r="11" spans="1:9">
      <c r="A11" s="30">
        <v>10</v>
      </c>
      <c r="B11" s="17" t="s">
        <v>150</v>
      </c>
      <c r="C11" s="17" t="s">
        <v>151</v>
      </c>
      <c r="D11" s="31" t="s">
        <v>152</v>
      </c>
      <c r="E11" s="18" t="s">
        <v>40</v>
      </c>
      <c r="F11" s="44">
        <v>36.99</v>
      </c>
      <c r="G11" s="17">
        <v>2</v>
      </c>
      <c r="H11" s="43">
        <f>Table10[[#This Row],[Qty]]*Table10[[#This Row],[Unit Cost]]</f>
        <v>73.98</v>
      </c>
      <c r="I11" s="21"/>
    </row>
    <row r="12" spans="1:9">
      <c r="A12" s="26">
        <v>11</v>
      </c>
      <c r="B12" s="11" t="s">
        <v>158</v>
      </c>
      <c r="C12" s="11" t="s">
        <v>159</v>
      </c>
      <c r="D12" s="27" t="s">
        <v>160</v>
      </c>
      <c r="E12" s="12" t="s">
        <v>10</v>
      </c>
      <c r="F12" s="43">
        <v>1.99</v>
      </c>
      <c r="G12" s="11">
        <v>1</v>
      </c>
      <c r="H12" s="43">
        <f>Table10[[#This Row],[Qty]]*Table10[[#This Row],[Unit Cost]]</f>
        <v>1.99</v>
      </c>
      <c r="I12" s="15"/>
    </row>
    <row r="13" spans="1:9">
      <c r="A13" s="26">
        <v>12</v>
      </c>
      <c r="B13" s="11" t="s">
        <v>161</v>
      </c>
      <c r="C13" s="11" t="s">
        <v>162</v>
      </c>
      <c r="D13" s="27" t="s">
        <v>163</v>
      </c>
      <c r="E13" s="12" t="s">
        <v>10</v>
      </c>
      <c r="F13" s="43">
        <v>0.14000000000000001</v>
      </c>
      <c r="G13" s="11">
        <v>1</v>
      </c>
      <c r="H13" s="43">
        <f>Table10[[#This Row],[Qty]]*Table10[[#This Row],[Unit Cost]]</f>
        <v>0.14000000000000001</v>
      </c>
      <c r="I13" s="15"/>
    </row>
    <row r="14" spans="1:9">
      <c r="A14" s="26">
        <v>13</v>
      </c>
      <c r="B14" s="11" t="s">
        <v>164</v>
      </c>
      <c r="C14" s="11" t="s">
        <v>165</v>
      </c>
      <c r="D14" s="27" t="s">
        <v>166</v>
      </c>
      <c r="E14" s="12" t="s">
        <v>10</v>
      </c>
      <c r="F14" s="43">
        <v>0.2</v>
      </c>
      <c r="G14" s="11">
        <v>1</v>
      </c>
      <c r="H14" s="43">
        <f>Table10[[#This Row],[Qty]]*Table10[[#This Row],[Unit Cost]]</f>
        <v>0.2</v>
      </c>
      <c r="I14" s="15"/>
    </row>
    <row r="15" spans="1:9">
      <c r="A15" s="26">
        <v>14</v>
      </c>
      <c r="B15" s="11" t="s">
        <v>167</v>
      </c>
      <c r="C15" s="11" t="s">
        <v>168</v>
      </c>
      <c r="D15" s="27" t="s">
        <v>169</v>
      </c>
      <c r="E15" s="12" t="s">
        <v>123</v>
      </c>
      <c r="F15" s="43">
        <v>30.3</v>
      </c>
      <c r="G15" s="11">
        <v>1</v>
      </c>
      <c r="H15" s="43">
        <f>Table10[[#This Row],[Qty]]*Table10[[#This Row],[Unit Cost]]</f>
        <v>30.3</v>
      </c>
      <c r="I15" s="15"/>
    </row>
    <row r="16" spans="1:9">
      <c r="A16" s="30"/>
      <c r="B16" s="17"/>
      <c r="C16" s="17"/>
      <c r="D16" s="31"/>
      <c r="E16" s="17"/>
      <c r="F16" s="16"/>
      <c r="G16" s="17"/>
      <c r="H16" s="66">
        <f>SUM(H2:H15)</f>
        <v>126.29</v>
      </c>
      <c r="I16" s="21"/>
    </row>
    <row r="17" spans="3:3">
      <c r="C17" s="63"/>
    </row>
  </sheetData>
  <hyperlinks>
    <hyperlink ref="E2" r:id="rId1"/>
    <hyperlink ref="E5" r:id="rId2"/>
    <hyperlink ref="E6" r:id="rId3"/>
    <hyperlink ref="E7" r:id="rId4"/>
    <hyperlink ref="E9" r:id="rId5"/>
    <hyperlink ref="E10" r:id="rId6"/>
    <hyperlink ref="E4" r:id="rId7"/>
    <hyperlink ref="E3" r:id="rId8"/>
    <hyperlink ref="E11" r:id="rId9"/>
    <hyperlink ref="E12" r:id="rId10"/>
    <hyperlink ref="E13" r:id="rId11"/>
    <hyperlink ref="E14" r:id="rId12"/>
    <hyperlink ref="E15" r:id="rId13"/>
  </hyperlinks>
  <pageMargins left="0.7" right="0.7" top="0.75" bottom="0.75" header="0.3" footer="0.3"/>
  <pageSetup orientation="portrait" horizontalDpi="300" verticalDpi="300" r:id="rId14"/>
  <drawing r:id="rId15"/>
  <legacyDrawing r:id="rId16"/>
  <tableParts count="1">
    <tablePart r:id="rId1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CameraInterface</vt:lpstr>
      <vt:lpstr>350W_MotorControl</vt:lpstr>
      <vt:lpstr>ChargingSection</vt:lpstr>
      <vt:lpstr>SensorsInterface</vt:lpstr>
      <vt:lpstr>Servo_MotorControl</vt:lpstr>
      <vt:lpstr>PowerSection</vt:lpstr>
      <vt:lpstr>MCU-WirelessSection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Faizan Ur Rahman</dc:creator>
  <cp:lastModifiedBy>Faizan Ur Rahman</cp:lastModifiedBy>
  <dcterms:created xsi:type="dcterms:W3CDTF">2020-07-11T16:13:52Z</dcterms:created>
  <dcterms:modified xsi:type="dcterms:W3CDTF">2020-08-11T08:02:09Z</dcterms:modified>
</cp:coreProperties>
</file>