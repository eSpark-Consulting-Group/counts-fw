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iza\Downloads\"/>
    </mc:Choice>
  </mc:AlternateContent>
  <bookViews>
    <workbookView xWindow="0" yWindow="0" windowWidth="20490" windowHeight="7620" firstSheet="2" activeTab="2"/>
  </bookViews>
  <sheets>
    <sheet name="CameraInterface" sheetId="2" r:id="rId1"/>
    <sheet name="350W_MotorControl" sheetId="1" r:id="rId2"/>
    <sheet name="ChargingSection" sheetId="6" r:id="rId3"/>
    <sheet name="SensorsInterface" sheetId="3" r:id="rId4"/>
    <sheet name="Servo_MotorControl" sheetId="4" r:id="rId5"/>
    <sheet name="PowerSection" sheetId="5" r:id="rId6"/>
    <sheet name="MCU-WirelessSecti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" i="4" l="1"/>
  <c r="H11" i="1"/>
  <c r="H10" i="2"/>
  <c r="H3" i="4" l="1"/>
  <c r="H4" i="4"/>
  <c r="H2" i="4"/>
  <c r="H13" i="6"/>
  <c r="H12" i="6"/>
  <c r="H11" i="6"/>
  <c r="H10" i="6"/>
  <c r="H2" i="6"/>
  <c r="H3" i="6"/>
  <c r="H4" i="6"/>
  <c r="H5" i="6"/>
  <c r="H6" i="6"/>
  <c r="H7" i="6"/>
  <c r="H8" i="6"/>
  <c r="H9" i="6"/>
  <c r="H14" i="6"/>
  <c r="H3" i="7"/>
  <c r="H4" i="7"/>
  <c r="H5" i="7"/>
  <c r="H6" i="7"/>
  <c r="H7" i="7"/>
  <c r="H8" i="7"/>
  <c r="H9" i="7"/>
  <c r="H10" i="7"/>
  <c r="H2" i="7"/>
  <c r="H3" i="5"/>
  <c r="H4" i="5"/>
  <c r="H5" i="5"/>
  <c r="H6" i="5"/>
  <c r="H7" i="5"/>
  <c r="H8" i="5"/>
  <c r="H2" i="5"/>
  <c r="H5" i="3"/>
  <c r="H6" i="3"/>
  <c r="H3" i="3"/>
  <c r="H4" i="3"/>
  <c r="H2" i="3"/>
  <c r="H11" i="7" l="1"/>
  <c r="H9" i="5"/>
  <c r="H7" i="3"/>
  <c r="H15" i="6"/>
  <c r="H3" i="2"/>
  <c r="H4" i="2"/>
  <c r="H5" i="2"/>
  <c r="H6" i="2"/>
  <c r="H7" i="2"/>
  <c r="H8" i="2"/>
  <c r="H9" i="2"/>
  <c r="H2" i="2" l="1"/>
  <c r="H3" i="1" l="1"/>
  <c r="H4" i="1"/>
  <c r="H5" i="1"/>
  <c r="H6" i="1"/>
  <c r="H7" i="1"/>
  <c r="H8" i="1"/>
  <c r="H9" i="1"/>
  <c r="H10" i="1"/>
  <c r="H2" i="1"/>
</calcChain>
</file>

<file path=xl/comments1.xml><?xml version="1.0" encoding="utf-8"?>
<comments xmlns="http://schemas.openxmlformats.org/spreadsheetml/2006/main">
  <authors>
    <author>RoverConcepts</author>
  </authors>
  <commentList>
    <comment ref="B1" authorId="0" shapeId="0">
      <text>
        <r>
          <rPr>
            <b/>
            <sz val="9"/>
            <color indexed="81"/>
            <rFont val="Tahoma"/>
            <charset val="1"/>
          </rPr>
          <t>RoverConcepts:</t>
        </r>
        <r>
          <rPr>
            <sz val="9"/>
            <color indexed="81"/>
            <rFont val="Tahoma"/>
            <charset val="1"/>
          </rPr>
          <t xml:space="preserve">
Do we need to add components that allows switching btween the forward and reverse camera - depending on in which direction the motor is powered.</t>
        </r>
      </text>
    </comment>
    <comment ref="G1" authorId="0" shapeId="0">
      <text>
        <r>
          <rPr>
            <b/>
            <sz val="9"/>
            <color indexed="81"/>
            <rFont val="Tahoma"/>
            <charset val="1"/>
          </rPr>
          <t>RoverConcepts:</t>
        </r>
        <r>
          <rPr>
            <sz val="9"/>
            <color indexed="81"/>
            <rFont val="Tahoma"/>
            <charset val="1"/>
          </rPr>
          <t xml:space="preserve">
Do we need two of these? 
We are using two camera systems - one for forward vision and one for rear vision depending on which direction the cart is running in.</t>
        </r>
      </text>
    </comment>
  </commentList>
</comments>
</file>

<file path=xl/comments2.xml><?xml version="1.0" encoding="utf-8"?>
<comments xmlns="http://schemas.openxmlformats.org/spreadsheetml/2006/main">
  <authors>
    <author>RoverConcepts</author>
  </authors>
  <commentList>
    <comment ref="B1" authorId="0" shapeId="0">
      <text>
        <r>
          <rPr>
            <b/>
            <sz val="9"/>
            <color indexed="81"/>
            <rFont val="Tahoma"/>
            <charset val="1"/>
          </rPr>
          <t>RoverConcepts:</t>
        </r>
        <r>
          <rPr>
            <sz val="9"/>
            <color indexed="81"/>
            <rFont val="Tahoma"/>
            <charset val="1"/>
          </rPr>
          <t xml:space="preserve">
What about relays? How are we changing the polarity of motor current? - Do we need traditional relays?</t>
        </r>
      </text>
    </comment>
    <comment ref="D3" authorId="0" shapeId="0">
      <text>
        <r>
          <rPr>
            <b/>
            <sz val="9"/>
            <color indexed="81"/>
            <rFont val="Tahoma"/>
            <charset val="1"/>
          </rPr>
          <t>RoverConcepts:</t>
        </r>
        <r>
          <rPr>
            <sz val="9"/>
            <color indexed="81"/>
            <rFont val="Tahoma"/>
            <charset val="1"/>
          </rPr>
          <t xml:space="preserve">
Seems like manufacturer Standard Lead Time is 8 Weeks. Can you please check if we want to use this or a different one?</t>
        </r>
      </text>
    </comment>
    <comment ref="B11" authorId="0" shapeId="0">
      <text>
        <r>
          <rPr>
            <b/>
            <sz val="9"/>
            <color indexed="81"/>
            <rFont val="Tahoma"/>
            <charset val="1"/>
          </rPr>
          <t>RoverConcepts:</t>
        </r>
        <r>
          <rPr>
            <sz val="9"/>
            <color indexed="81"/>
            <rFont val="Tahoma"/>
            <charset val="1"/>
          </rPr>
          <t xml:space="preserve">
Do we need heat sink?
</t>
        </r>
      </text>
    </comment>
  </commentList>
</comments>
</file>

<file path=xl/comments3.xml><?xml version="1.0" encoding="utf-8"?>
<comments xmlns="http://schemas.openxmlformats.org/spreadsheetml/2006/main">
  <authors>
    <author>RoverConcepts</author>
  </authors>
  <commentList>
    <comment ref="G5" authorId="0" shapeId="0">
      <text>
        <r>
          <rPr>
            <b/>
            <sz val="9"/>
            <color indexed="81"/>
            <rFont val="Tahoma"/>
            <charset val="1"/>
          </rPr>
          <t>RoverConcepts:</t>
        </r>
        <r>
          <rPr>
            <sz val="9"/>
            <color indexed="81"/>
            <rFont val="Tahoma"/>
            <charset val="1"/>
          </rPr>
          <t xml:space="preserve">
There are 4 running lights (2 front, 2 rear) we may usie something like this too: 
https://www.amazon.com/Universal-Waterproof-Trucks-Daytime-Running/dp/B071PFC1H2/ref=sr_1_33?dchild=1&amp;keywords=daytime+running+lights&amp;qid=1594866293&amp;sr=8-33
</t>
        </r>
      </text>
    </comment>
    <comment ref="B6" authorId="0" shapeId="0">
      <text>
        <r>
          <rPr>
            <b/>
            <sz val="9"/>
            <color indexed="81"/>
            <rFont val="Tahoma"/>
            <charset val="1"/>
          </rPr>
          <t>RoverConcepts:</t>
        </r>
        <r>
          <rPr>
            <sz val="9"/>
            <color indexed="81"/>
            <rFont val="Tahoma"/>
            <charset val="1"/>
          </rPr>
          <t xml:space="preserve">
Lets replace them with DC1C-A1AA
https://www.digikey.com/product-detail/en/zf-electronics/DC1C-A1AA/CH290-ND/280836</t>
        </r>
      </text>
    </comment>
    <comment ref="B7" authorId="0" shapeId="0">
      <text>
        <r>
          <rPr>
            <b/>
            <sz val="9"/>
            <color indexed="81"/>
            <rFont val="Tahoma"/>
            <charset val="1"/>
          </rPr>
          <t>RoverConcepts:</t>
        </r>
        <r>
          <rPr>
            <sz val="9"/>
            <color indexed="81"/>
            <rFont val="Tahoma"/>
            <charset val="1"/>
          </rPr>
          <t xml:space="preserve">
We are missing night lamps x2</t>
        </r>
      </text>
    </comment>
  </commentList>
</comments>
</file>

<file path=xl/comments4.xml><?xml version="1.0" encoding="utf-8"?>
<comments xmlns="http://schemas.openxmlformats.org/spreadsheetml/2006/main">
  <authors>
    <author>RoverConcepts</author>
  </authors>
  <commentList>
    <comment ref="B2" authorId="0" shapeId="0">
      <text>
        <r>
          <rPr>
            <b/>
            <sz val="9"/>
            <color indexed="81"/>
            <rFont val="Tahoma"/>
            <charset val="1"/>
          </rPr>
          <t>RoverConcepts:</t>
        </r>
        <r>
          <rPr>
            <sz val="9"/>
            <color indexed="81"/>
            <rFont val="Tahoma"/>
            <charset val="1"/>
          </rPr>
          <t xml:space="preserve">
The Servo can be controlled via three methods - do we need any components to control the servo? Please see the controls settings:</t>
        </r>
      </text>
    </comment>
  </commentList>
</comments>
</file>

<file path=xl/comments5.xml><?xml version="1.0" encoding="utf-8"?>
<comments xmlns="http://schemas.openxmlformats.org/spreadsheetml/2006/main">
  <authors>
    <author>RoverConcepts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RoverConcepts:</t>
        </r>
        <r>
          <rPr>
            <sz val="9"/>
            <color indexed="81"/>
            <rFont val="Tahoma"/>
            <family val="2"/>
          </rPr>
          <t xml:space="preserve">
What about communcation LED's?</t>
        </r>
      </text>
    </comment>
    <comment ref="G5" authorId="0" shapeId="0">
      <text>
        <r>
          <rPr>
            <b/>
            <sz val="9"/>
            <color indexed="81"/>
            <rFont val="Tahoma"/>
            <charset val="1"/>
          </rPr>
          <t>RoverConcepts:</t>
        </r>
        <r>
          <rPr>
            <sz val="9"/>
            <color indexed="81"/>
            <rFont val="Tahoma"/>
            <family val="2"/>
          </rPr>
          <t xml:space="preserve"> 
I think we need four of these?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RoverConcepts:</t>
        </r>
        <r>
          <rPr>
            <sz val="9"/>
            <color indexed="81"/>
            <rFont val="Tahoma"/>
            <family val="2"/>
          </rPr>
          <t xml:space="preserve">
Screen, Antenna, Battery, Power Button, Emergency Stop Button.</t>
        </r>
      </text>
    </comment>
  </commentList>
</comments>
</file>

<file path=xl/sharedStrings.xml><?xml version="1.0" encoding="utf-8"?>
<sst xmlns="http://schemas.openxmlformats.org/spreadsheetml/2006/main" count="288" uniqueCount="149">
  <si>
    <t>S.No</t>
  </si>
  <si>
    <t>Component Name</t>
  </si>
  <si>
    <t>Description</t>
  </si>
  <si>
    <t>Supplier Ref</t>
  </si>
  <si>
    <t>Unit Cost</t>
  </si>
  <si>
    <t>Remarks</t>
  </si>
  <si>
    <t>Motor Driver</t>
  </si>
  <si>
    <t>Mfp Part Number</t>
  </si>
  <si>
    <t>DRV8701ERGET</t>
  </si>
  <si>
    <t xml:space="preserve">IC MOTOR DRIVER 0V-5.5V 24VQFN </t>
  </si>
  <si>
    <t>Digikey</t>
  </si>
  <si>
    <t>Qty</t>
  </si>
  <si>
    <t>Total Cost</t>
  </si>
  <si>
    <t>MOSFET</t>
  </si>
  <si>
    <t>CSD18540Q5B</t>
  </si>
  <si>
    <t xml:space="preserve">MOSFET N-CH 60V 100A 8VSON </t>
  </si>
  <si>
    <t>Alum Capacitor</t>
  </si>
  <si>
    <t>UCD1V471MNL6GS</t>
  </si>
  <si>
    <t xml:space="preserve">CAP ALUM 470UF 20% 35V RAD SMD </t>
  </si>
  <si>
    <t>Ceramic Capacitor</t>
  </si>
  <si>
    <t xml:space="preserve">0201B102K160CT </t>
  </si>
  <si>
    <t xml:space="preserve">CAP CER 1000PF 16V X7R 0201 </t>
  </si>
  <si>
    <t>CL10B105KO8NNNC</t>
  </si>
  <si>
    <t xml:space="preserve">CAP CER 1UF 16V X7R 0603 </t>
  </si>
  <si>
    <t xml:space="preserve">CL05B104KB54PNC </t>
  </si>
  <si>
    <t>CAP CER 0.1UF 50V X7R 0402</t>
  </si>
  <si>
    <t>CL31B106KBHNNNE</t>
  </si>
  <si>
    <t>CAP CER 10UF 50V X7R 1206</t>
  </si>
  <si>
    <t>Chip Resistor</t>
  </si>
  <si>
    <t>RK73H1ETTP1002F</t>
  </si>
  <si>
    <t>RES 10K OHM 1% 1/10W 0402</t>
  </si>
  <si>
    <t xml:space="preserve">RC0603FR-0768KL </t>
  </si>
  <si>
    <t>RES SMD 68K OHM 1% 1/10W 0603</t>
  </si>
  <si>
    <t>Camera Module</t>
  </si>
  <si>
    <t>HBVCAM-3M1917 V22</t>
  </si>
  <si>
    <t>IC</t>
  </si>
  <si>
    <t>Diode</t>
  </si>
  <si>
    <t>BQ24450DWTR</t>
  </si>
  <si>
    <t>Charger IC Lead Acid 16-SOIC</t>
  </si>
  <si>
    <t>Wireless tranciever</t>
  </si>
  <si>
    <t>DigiKey</t>
  </si>
  <si>
    <t>NRF24L01</t>
  </si>
  <si>
    <t>Aliexpress</t>
  </si>
  <si>
    <t>GRM188R61C106KAALJ</t>
  </si>
  <si>
    <t>10µF ±10% 16V Ceramic Capacitor X5R 0603 (1608 Metric)</t>
  </si>
  <si>
    <t>Solenoid</t>
  </si>
  <si>
    <t>SOLENOID PULL 12V</t>
  </si>
  <si>
    <t>Buzzer</t>
  </si>
  <si>
    <t>RS</t>
  </si>
  <si>
    <t>617-3097</t>
  </si>
  <si>
    <t>LED Lights</t>
  </si>
  <si>
    <t>Amazon</t>
  </si>
  <si>
    <t>DLLL One Pair DC 12V Universal Motorcycle Bike 12 LED</t>
  </si>
  <si>
    <t>Impact sensor</t>
  </si>
  <si>
    <t>Small micro switch sensor designed for the Arduino</t>
  </si>
  <si>
    <t>-</t>
  </si>
  <si>
    <t>Weatherproof Ultrasonic Sensor w/ Separate Probe</t>
  </si>
  <si>
    <t>robotshop</t>
  </si>
  <si>
    <t>TLV76733DRVR</t>
  </si>
  <si>
    <t>Linear Voltage Regulator IC  1 Output  1A 6-WSON (2x2)</t>
  </si>
  <si>
    <t>BD50GC0WEFJ-E2</t>
  </si>
  <si>
    <t>Linear Voltage Regulator IC  1 Output  1A 8-HTSOP-J</t>
  </si>
  <si>
    <t>CP2102N-A02-GQFN24R</t>
  </si>
  <si>
    <t>RC0402FR-0722K6L</t>
  </si>
  <si>
    <t>ERJ-2RKF4702X</t>
  </si>
  <si>
    <t>CC0603KRX5R7BB475</t>
  </si>
  <si>
    <t>CC0402KRX7R7BB104</t>
  </si>
  <si>
    <t>Cin=1uF</t>
  </si>
  <si>
    <t>Cout=2.2uF</t>
  </si>
  <si>
    <t>R2=160K</t>
  </si>
  <si>
    <t>R1=499K</t>
  </si>
  <si>
    <t>ERJ-2GEJ164X</t>
  </si>
  <si>
    <t>160 kOhms ±5% 0.1W, 1/10W Chip Resistor 0402</t>
  </si>
  <si>
    <t>ATMEGA328P-AUR</t>
  </si>
  <si>
    <t>B3U-1000P</t>
  </si>
  <si>
    <t>ERJ-2GEJ103X</t>
  </si>
  <si>
    <t>10 kOhms ±5% 0.1W, 1/10W Chip Resistor 0402 (1005 Metric)</t>
  </si>
  <si>
    <t>Tactile Switch SPST-NO Top Actuated Surface Mount</t>
  </si>
  <si>
    <t>ECS-200-20-3X-EN-TR</t>
  </si>
  <si>
    <t>20MHz ±30ppm Crystal 20pF 50 Ohms HC-49/US</t>
  </si>
  <si>
    <t>C0805C200J4GAC7800</t>
  </si>
  <si>
    <t>20pF ±5% 16V Ceramic Capacitor C0G, NP0 0805 (2012 Metric)</t>
  </si>
  <si>
    <t>C0402C104Z4VAC7867</t>
  </si>
  <si>
    <t>0.1µF -20%, +80% 16V Ceramic Capacitor Y5V (F) 0402 (1005 Metric)</t>
  </si>
  <si>
    <t>USB-UART IC</t>
  </si>
  <si>
    <t xml:space="preserve">IC USB TO UART BRIDGE QFN24 </t>
  </si>
  <si>
    <t>3MP camera module, wide-angle 110 degrees FOV 2048x1536</t>
  </si>
  <si>
    <t xml:space="preserve">RES SMD 1K OHM 1% 1/16W 0402 </t>
  </si>
  <si>
    <t xml:space="preserve">RES SMD 22.6K OHM 1% 1/16W 0402 </t>
  </si>
  <si>
    <t xml:space="preserve">RES SMD 47K OHM 1% 1/10W 0402 </t>
  </si>
  <si>
    <t xml:space="preserve">CAP CER 0.1UF 16V X7R 0402 </t>
  </si>
  <si>
    <t>USB Connector</t>
  </si>
  <si>
    <t xml:space="preserve">292303-1 </t>
  </si>
  <si>
    <t xml:space="preserve">CONN RCPT USB2.0 TYPEA 4POS R/A </t>
  </si>
  <si>
    <t xml:space="preserve">ES3AB-13-F </t>
  </si>
  <si>
    <t>DIODE GEN PURP 50V 3A SMB</t>
  </si>
  <si>
    <t>Battery Charger IC</t>
  </si>
  <si>
    <t>Quasi-PNP Transistor</t>
  </si>
  <si>
    <t>MJD32CT4G</t>
  </si>
  <si>
    <t xml:space="preserve">TRANS PNP 100V 3A DPAK </t>
  </si>
  <si>
    <t>MJD31CT4G</t>
  </si>
  <si>
    <t>Quasi-NPN Transistor</t>
  </si>
  <si>
    <t xml:space="preserve">TRANS NPN 100V 3A DPAK </t>
  </si>
  <si>
    <t>20 V dc 96dB Panel Mount  Piezo Buzzer</t>
  </si>
  <si>
    <t>Sonar Sensor</t>
  </si>
  <si>
    <t>Regulator IC</t>
  </si>
  <si>
    <t>IC MCU 8BIT 32KB FLASH 32TQFP</t>
  </si>
  <si>
    <t>Crystal Oscillator</t>
  </si>
  <si>
    <t>Tactile Switch</t>
  </si>
  <si>
    <t>2.4GHz Standard ISM Tranceiver Module</t>
  </si>
  <si>
    <t>Rotary Button</t>
  </si>
  <si>
    <t xml:space="preserve">COM-09032 </t>
  </si>
  <si>
    <t>JOYSTICK 10K OHM 2 AXIS TH</t>
  </si>
  <si>
    <t>CL21B105KBFNNNE</t>
  </si>
  <si>
    <t>CAP CER 1UF 50V X7R 0805</t>
  </si>
  <si>
    <t>CL31A225KBHNNNE</t>
  </si>
  <si>
    <t>CAP CER 2.2UF 50V X5R 1206</t>
  </si>
  <si>
    <t>CL21A106KOQNNNG</t>
  </si>
  <si>
    <t>CAP CER 10UF 16V X5R 0805</t>
  </si>
  <si>
    <t xml:space="preserve">RC1206FR-07499KL </t>
  </si>
  <si>
    <t xml:space="preserve">RES SMD 499K OHM 1% 1/4W 1206 </t>
  </si>
  <si>
    <t xml:space="preserve">RC0402FR-07442RL </t>
  </si>
  <si>
    <t xml:space="preserve">RES SMD 442 OHM 1% 1/16W 0402 </t>
  </si>
  <si>
    <t>CAP CER 0.1UF 16V Y5V 0402</t>
  </si>
  <si>
    <t>Motor Driver Module</t>
  </si>
  <si>
    <t>Servo Motor Driver Module</t>
  </si>
  <si>
    <t>AliExpress</t>
  </si>
  <si>
    <t>ERJ-8BWJR082V</t>
  </si>
  <si>
    <t xml:space="preserve">RES 0.082 OHM 5% 1W 1206 </t>
  </si>
  <si>
    <r>
      <t>R</t>
    </r>
    <r>
      <rPr>
        <sz val="6"/>
        <color theme="1"/>
        <rFont val="Calibri"/>
        <family val="2"/>
        <scheme val="minor"/>
      </rPr>
      <t>ISNS</t>
    </r>
  </si>
  <si>
    <t xml:space="preserve">ERJ-2RKF4642X </t>
  </si>
  <si>
    <t xml:space="preserve">RES SMD 46.4K OHM 1% 1/10W 0402 </t>
  </si>
  <si>
    <r>
      <t>R</t>
    </r>
    <r>
      <rPr>
        <sz val="6"/>
        <color theme="1"/>
        <rFont val="Calibri"/>
        <family val="2"/>
        <scheme val="minor"/>
      </rPr>
      <t>C</t>
    </r>
  </si>
  <si>
    <t xml:space="preserve">ERJ-2RKF4753X </t>
  </si>
  <si>
    <t xml:space="preserve">RES SMD 475K OHM 1% 1/10W 0402 </t>
  </si>
  <si>
    <r>
      <t>R</t>
    </r>
    <r>
      <rPr>
        <sz val="6"/>
        <color theme="1"/>
        <rFont val="Calibri"/>
        <family val="2"/>
        <scheme val="minor"/>
      </rPr>
      <t>D</t>
    </r>
  </si>
  <si>
    <t xml:space="preserve">RC0402FR-0716K9L </t>
  </si>
  <si>
    <t xml:space="preserve">RES SMD 16.9K OHM 1% 1/16W 0402 </t>
  </si>
  <si>
    <r>
      <t>R</t>
    </r>
    <r>
      <rPr>
        <sz val="6"/>
        <color theme="1"/>
        <rFont val="Calibri"/>
        <family val="2"/>
        <scheme val="minor"/>
      </rPr>
      <t>B</t>
    </r>
  </si>
  <si>
    <r>
      <t>R</t>
    </r>
    <r>
      <rPr>
        <sz val="6"/>
        <color theme="1"/>
        <rFont val="Calibri"/>
        <family val="2"/>
        <scheme val="minor"/>
      </rPr>
      <t>A</t>
    </r>
  </si>
  <si>
    <t xml:space="preserve">RC0603FR-07162KL </t>
  </si>
  <si>
    <t xml:space="preserve">RES SMD 162K OHM 1% 1/10W 0603 </t>
  </si>
  <si>
    <t xml:space="preserve">RES SMD 10K OHM 5% 1/20W 0201 </t>
  </si>
  <si>
    <t>RC0201JR-0710KL</t>
  </si>
  <si>
    <r>
      <t>R</t>
    </r>
    <r>
      <rPr>
        <sz val="6"/>
        <color theme="1"/>
        <rFont val="Calibri"/>
        <family val="2"/>
        <scheme val="minor"/>
      </rPr>
      <t>P</t>
    </r>
  </si>
  <si>
    <r>
      <t>C</t>
    </r>
    <r>
      <rPr>
        <sz val="6"/>
        <color theme="1"/>
        <rFont val="Calibri"/>
        <family val="2"/>
        <scheme val="minor"/>
      </rPr>
      <t>IN</t>
    </r>
  </si>
  <si>
    <t>Mating Header</t>
  </si>
  <si>
    <t xml:space="preserve">95278-101A06LF </t>
  </si>
  <si>
    <t xml:space="preserve">CONN HEADER SMD 6POS 2.54MM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</si>
</sst>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$&quot;#,##0.00_);\(&quot;$&quot;#,##0.00\)"/>
    <numFmt numFmtId="8" formatCode="&quot;$&quot;#,##0.00_);[Red]\(&quot;$&quot;#,##0.00\)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4" tint="-0.249977111117893"/>
      <name val="Calibri"/>
      <family val="2"/>
      <scheme val="minor"/>
    </font>
    <font>
      <sz val="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7" fontId="0" fillId="0" borderId="0" xfId="0" applyNumberFormat="1" applyAlignment="1">
      <alignment horizontal="center" vertical="center"/>
    </xf>
    <xf numFmtId="3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7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7" fontId="0" fillId="0" borderId="8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9" xfId="0" applyBorder="1"/>
    <xf numFmtId="0" fontId="2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left" vertical="center"/>
    </xf>
    <xf numFmtId="0" fontId="0" fillId="0" borderId="8" xfId="0" applyFill="1" applyBorder="1" applyAlignment="1">
      <alignment horizontal="center" vertical="center"/>
    </xf>
    <xf numFmtId="7" fontId="0" fillId="0" borderId="8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1" fillId="0" borderId="8" xfId="1" applyFill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8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5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8" fontId="0" fillId="0" borderId="1" xfId="0" applyNumberFormat="1" applyFont="1" applyBorder="1" applyAlignment="1">
      <alignment horizontal="center" vertical="center"/>
    </xf>
    <xf numFmtId="0" fontId="0" fillId="3" borderId="6" xfId="0" applyFont="1" applyFill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7" fontId="0" fillId="3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0" fillId="3" borderId="1" xfId="0" applyFont="1" applyFill="1" applyBorder="1"/>
    <xf numFmtId="0" fontId="0" fillId="3" borderId="1" xfId="0" applyNumberFormat="1" applyFont="1" applyFill="1" applyBorder="1" applyAlignment="1">
      <alignment horizontal="center" vertical="center"/>
    </xf>
    <xf numFmtId="7" fontId="0" fillId="3" borderId="8" xfId="0" applyNumberFormat="1" applyFont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7" fontId="0" fillId="0" borderId="6" xfId="0" applyNumberFormat="1" applyBorder="1" applyAlignment="1">
      <alignment horizontal="center" vertical="center"/>
    </xf>
    <xf numFmtId="0" fontId="0" fillId="0" borderId="7" xfId="0" applyBorder="1"/>
    <xf numFmtId="8" fontId="0" fillId="0" borderId="0" xfId="0" applyNumberFormat="1"/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left"/>
    </xf>
    <xf numFmtId="8" fontId="0" fillId="0" borderId="8" xfId="0" applyNumberFormat="1" applyBorder="1"/>
    <xf numFmtId="7" fontId="0" fillId="0" borderId="8" xfId="0" applyNumberFormat="1" applyBorder="1"/>
  </cellXfs>
  <cellStyles count="2">
    <cellStyle name="Hyperlink" xfId="1" builtinId="8"/>
    <cellStyle name="Normal" xfId="0" builtinId="0"/>
  </cellStyles>
  <dxfs count="156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2" formatCode="&quot;$&quot;#,##0.00_);[Red]\(&quot;$&quot;#,##0.00\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2" formatCode="&quot;$&quot;#,##0.00_);[Red]\(&quot;$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2" formatCode="&quot;$&quot;#,##0.00_);[Red]\(&quot;$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1" formatCode="&quot;$&quot;#,##0.00_);\(&quot;$&quot;#,##0.00\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2" formatCode="&quot;$&quot;#,##0.00_);[Red]\(&quot;$&quot;#,##0.00\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2" formatCode="&quot;$&quot;#,##0.00_);[Red]\(&quot;$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2" formatCode="&quot;$&quot;#,##0.00_);[Red]\(&quot;$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2" formatCode="&quot;$&quot;#,##0.00_);[Red]\(&quot;$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1" formatCode="&quot;$&quot;#,##0.00_);\(&quot;$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1" formatCode="&quot;$&quot;#,##0.00_);\(&quot;$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1" formatCode="&quot;$&quot;#,##0.00_);\(&quot;$&quot;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1" formatCode="&quot;$&quot;#,##0.00_);\(&quot;$&quot;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$&quot;#,##0.00_);[Red]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$&quot;#,##0.00_);[Red]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2" formatCode="&quot;$&quot;#,##0.00_);[Red]\(&quot;$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$&quot;#,##0.00_);[Red]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$&quot;#,##0.00_);[Red]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1" formatCode="&quot;$&quot;#,##0.00_);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1" formatCode="&quot;$&quot;#,##0.00_);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1" formatCode="&quot;$&quot;#,##0.00_);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1" formatCode="&quot;$&quot;#,##0.00_);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521003</xdr:colOff>
      <xdr:row>14</xdr:row>
      <xdr:rowOff>155275</xdr:rowOff>
    </xdr:from>
    <xdr:to>
      <xdr:col>3</xdr:col>
      <xdr:colOff>2448135</xdr:colOff>
      <xdr:row>31</xdr:row>
      <xdr:rowOff>44068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D14B42-6545-47D5-BEEE-0D77A6F32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324" y="2691441"/>
          <a:ext cx="5377698" cy="296842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1509622</xdr:colOff>
      <xdr:row>8</xdr:row>
      <xdr:rowOff>8626</xdr:rowOff>
    </xdr:from>
    <xdr:to>
      <xdr:col>13</xdr:col>
      <xdr:colOff>293297</xdr:colOff>
      <xdr:row>78</xdr:row>
      <xdr:rowOff>146649</xdr:rowOff>
    </xdr:to>
    <xdr:pic>
      <xdr:nvPicPr>
        <xdr:cNvPr id="2" name="Picture 1" descr="XZ0033B ASME-04B Servo (6)">
          <a:extLst>
            <a:ext uri="{FF2B5EF4-FFF2-40B4-BE49-F238E27FC236}">
              <a16:creationId xmlns:a16="http://schemas.microsoft.com/office/drawing/2014/main" id="{50571968-3958-4377-9D1E-6473FFBBD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0241" y="1457864"/>
          <a:ext cx="7617124" cy="12818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18893</xdr:colOff>
      <xdr:row>19</xdr:row>
      <xdr:rowOff>163901</xdr:rowOff>
    </xdr:from>
    <xdr:to>
      <xdr:col>7</xdr:col>
      <xdr:colOff>609598</xdr:colOff>
      <xdr:row>44</xdr:row>
      <xdr:rowOff>13152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F1A6EA-850D-4DC3-9E6B-A632A1E2E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2319" y="3605841"/>
          <a:ext cx="7284804" cy="4378119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id="11" name="Table11" displayName="Table11" ref="A1:I10" totalsRowCount="1" headerRowDxfId="155" dataDxfId="153" headerRowBorderDxfId="154" tableBorderDxfId="152" totalsRowBorderDxfId="151" headerRowCellStyle="Normal" dataCellStyle="Normal">
  <tableColumns count="9">
    <tableColumn id="1" name="S.No" dataDxfId="150" totalsRowDxfId="62" dataCellStyle="Normal"/>
    <tableColumn id="2" name="Component Name" dataDxfId="149" totalsRowDxfId="61" dataCellStyle="Normal"/>
    <tableColumn id="3" name="Mfp Part Number" dataDxfId="148" totalsRowDxfId="60" dataCellStyle="Normal"/>
    <tableColumn id="4" name="Description" dataDxfId="147" totalsRowDxfId="59" dataCellStyle="Normal"/>
    <tableColumn id="5" name="Supplier Ref" dataDxfId="146" totalsRowDxfId="58" dataCellStyle="Normal"/>
    <tableColumn id="6" name="Unit Cost" dataDxfId="145" totalsRowDxfId="57" dataCellStyle="Normal"/>
    <tableColumn id="7" name="Qty" dataDxfId="144" totalsRowDxfId="56" dataCellStyle="Normal"/>
    <tableColumn id="8" name="Total Cost" totalsRowFunction="custom" dataDxfId="143" totalsRowDxfId="55" dataCellStyle="Normal">
      <calculatedColumnFormula>G2*F2</calculatedColumnFormula>
      <totalsRowFormula>SUM(H2:H9)</totalsRowFormula>
    </tableColumn>
    <tableColumn id="9" name="Remarks" dataDxfId="142" totalsRowDxfId="54" dataCellStyle="Norm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I11" totalsRowCount="1" headerRowDxfId="141" dataDxfId="139" headerRowBorderDxfId="140" tableBorderDxfId="138" totalsRowBorderDxfId="137">
  <tableColumns count="9">
    <tableColumn id="1" name="S.No" dataDxfId="136" totalsRowDxfId="53"/>
    <tableColumn id="2" name="Component Name" dataDxfId="135" totalsRowDxfId="52"/>
    <tableColumn id="3" name="Mfp Part Number" dataDxfId="134" totalsRowDxfId="51"/>
    <tableColumn id="4" name="Description" dataDxfId="133" totalsRowDxfId="50"/>
    <tableColumn id="5" name="Supplier Ref" dataDxfId="132" totalsRowDxfId="49" dataCellStyle="Hyperlink"/>
    <tableColumn id="6" name="Unit Cost" dataDxfId="131" totalsRowDxfId="48"/>
    <tableColumn id="7" name="Qty" dataDxfId="130" totalsRowDxfId="47"/>
    <tableColumn id="8" name="Total Cost" totalsRowFunction="custom" dataDxfId="129" totalsRowDxfId="46">
      <calculatedColumnFormula>G2*F2</calculatedColumnFormula>
      <totalsRowFormula>SUM(H2:H10)</totalsRowFormula>
    </tableColumn>
    <tableColumn id="9" name="Remarks" dataDxfId="128" totalsRowDxfId="4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15" totalsRowCount="1" headerRowDxfId="127" headerRowBorderDxfId="126" tableBorderDxfId="125" totalsRowBorderDxfId="124">
  <tableColumns count="9">
    <tableColumn id="1" name="S.No" dataDxfId="123" totalsRowDxfId="44"/>
    <tableColumn id="2" name="Component Name" dataDxfId="122" totalsRowDxfId="43"/>
    <tableColumn id="3" name="Mfp Part Number" dataDxfId="121" totalsRowDxfId="42"/>
    <tableColumn id="4" name="Description" dataDxfId="120" totalsRowDxfId="41"/>
    <tableColumn id="5" name="Supplier Ref" dataDxfId="119" totalsRowDxfId="40" dataCellStyle="Hyperlink"/>
    <tableColumn id="6" name="Unit Cost" dataDxfId="118" totalsRowDxfId="39"/>
    <tableColumn id="7" name="Qty" dataDxfId="117" totalsRowDxfId="38"/>
    <tableColumn id="8" name="Total Cost" totalsRowFunction="custom" dataDxfId="116" totalsRowDxfId="37">
      <calculatedColumnFormula>Table3[[#This Row],[Qty]]*Table3[[#This Row],[Unit Cost]]</calculatedColumnFormula>
      <totalsRowFormula>SUM(H2:H14)</totalsRowFormula>
    </tableColumn>
    <tableColumn id="9" name="Remarks" dataDxfId="115" totalsRowDxfId="3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I7" totalsRowCount="1" headerRowDxfId="114" headerRowBorderDxfId="113" tableBorderDxfId="112" totalsRowBorderDxfId="111">
  <tableColumns count="9">
    <tableColumn id="1" name="S.No" dataDxfId="110" totalsRowDxfId="35"/>
    <tableColumn id="2" name="Component Name" dataDxfId="109" totalsRowDxfId="34"/>
    <tableColumn id="3" name="Mfp Part Number" dataDxfId="108" totalsRowDxfId="33"/>
    <tableColumn id="4" name="Description" dataDxfId="107" totalsRowDxfId="32"/>
    <tableColumn id="5" name="Supplier Ref" dataDxfId="106" totalsRowDxfId="31" dataCellStyle="Hyperlink"/>
    <tableColumn id="6" name="Unit Cost" dataDxfId="105" totalsRowDxfId="30"/>
    <tableColumn id="7" name="Qty" dataDxfId="104" totalsRowDxfId="29"/>
    <tableColumn id="8" name="Total Cost" totalsRowFunction="custom" dataDxfId="103" totalsRowDxfId="28">
      <totalsRowFormula>SUM(H2:H6)</totalsRowFormula>
    </tableColumn>
    <tableColumn id="9" name="Remarks" dataDxfId="102" totalsRowDxfId="2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2" name="Table2" displayName="Table2" ref="A1:I5" totalsRowCount="1" headerRowDxfId="101" headerRowBorderDxfId="100" tableBorderDxfId="99" totalsRowBorderDxfId="98">
  <tableColumns count="9">
    <tableColumn id="1" name="S.No" dataDxfId="97" totalsRowDxfId="26"/>
    <tableColumn id="2" name="Component Name" dataDxfId="96" totalsRowDxfId="25"/>
    <tableColumn id="3" name="Mfp Part Number" dataDxfId="95" totalsRowDxfId="24"/>
    <tableColumn id="4" name="Description" dataDxfId="94" totalsRowDxfId="23"/>
    <tableColumn id="5" name="Supplier Ref" dataDxfId="93" totalsRowDxfId="22"/>
    <tableColumn id="6" name="Unit Cost" dataDxfId="92" totalsRowDxfId="21"/>
    <tableColumn id="7" name="Qty" dataDxfId="91" totalsRowDxfId="20"/>
    <tableColumn id="8" name="Total Cost" totalsRowFunction="custom" dataDxfId="90" totalsRowDxfId="19">
      <calculatedColumnFormula>G2*F2</calculatedColumnFormula>
      <totalsRowFormula>SUM(H2:H4)</totalsRowFormula>
    </tableColumn>
    <tableColumn id="9" name="Remarks" dataDxfId="89" totalsRowDxfId="1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9" name="Table9" displayName="Table9" ref="A1:I9" totalsRowCount="1" headerRowDxfId="88" headerRowBorderDxfId="87" tableBorderDxfId="86" totalsRowBorderDxfId="85">
  <tableColumns count="9">
    <tableColumn id="1" name="S.No" dataDxfId="84" totalsRowDxfId="17"/>
    <tableColumn id="2" name="Component Name" dataDxfId="83" totalsRowDxfId="16"/>
    <tableColumn id="3" name="Mfp Part Number" dataDxfId="82" totalsRowDxfId="15"/>
    <tableColumn id="4" name="Description" dataDxfId="81" totalsRowDxfId="14"/>
    <tableColumn id="5" name="Supplier Ref" dataDxfId="80" totalsRowDxfId="13" dataCellStyle="Hyperlink"/>
    <tableColumn id="6" name="Unit Cost" dataDxfId="79" totalsRowDxfId="12"/>
    <tableColumn id="7" name="Qty" dataDxfId="78" totalsRowDxfId="11"/>
    <tableColumn id="8" name="Total Cost" totalsRowFunction="custom" dataDxfId="77" totalsRowDxfId="10">
      <calculatedColumnFormula>Table9[[#This Row],[Qty]]*Table9[[#This Row],[Unit Cost]]</calculatedColumnFormula>
      <totalsRowFormula>SUM(H2:H8)</totalsRowFormula>
    </tableColumn>
    <tableColumn id="9" name="Remarks" dataDxfId="76" totalsRowDxfId="9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0" name="Table10" displayName="Table10" ref="A1:I11" totalsRowCount="1" headerRowDxfId="75" headerRowBorderDxfId="74" tableBorderDxfId="73" totalsRowBorderDxfId="72">
  <tableColumns count="9">
    <tableColumn id="1" name="S.No" dataDxfId="71" totalsRowDxfId="8"/>
    <tableColumn id="2" name="Component Name" dataDxfId="70" totalsRowDxfId="7"/>
    <tableColumn id="3" name="Mfp Part Number" dataDxfId="69" totalsRowDxfId="6"/>
    <tableColumn id="4" name="Description" dataDxfId="68" totalsRowDxfId="5"/>
    <tableColumn id="5" name="Supplier Ref" dataDxfId="67" totalsRowDxfId="4"/>
    <tableColumn id="6" name="Unit Cost" dataDxfId="66" totalsRowDxfId="3"/>
    <tableColumn id="7" name="Qty" dataDxfId="65" totalsRowDxfId="2"/>
    <tableColumn id="8" name="Total Cost" totalsRowFunction="custom" dataDxfId="64" totalsRowDxfId="1">
      <calculatedColumnFormula>Table10[[#This Row],[Qty]]*Table10[[#This Row],[Unit Cost]]</calculatedColumnFormula>
      <totalsRowFormula>SUM(H2:H10)</totalsRowFormula>
    </tableColumn>
    <tableColumn id="9" name="Remarks" dataDxfId="63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product-detail/en/te-connectivity-amp-connectors/292303-1/A31726-ND/773786" TargetMode="External"/><Relationship Id="rId3" Type="http://schemas.openxmlformats.org/officeDocument/2006/relationships/hyperlink" Target="https://www.digikey.com/products/en/integrated-circuits-ics/interface-controllers/753?k=CP2102N-A02-GQFN24R&amp;k=&amp;pkeyword=CP2102N-A02-GQFN24R&amp;sv=0&amp;pv7=2&amp;sf=0&amp;quantity=&amp;ColumnSort=0&amp;page=1&amp;pageSize=25" TargetMode="External"/><Relationship Id="rId7" Type="http://schemas.openxmlformats.org/officeDocument/2006/relationships/hyperlink" Target="https://www.digikey.com/products/en/capacitors/ceramic-capacitors/60?k=CC0402KRX7R7BB104&amp;k=&amp;pkeyword=CC0402KRX7R7BB104&amp;sv=0&amp;pv7=2&amp;sf=0&amp;quantity=&amp;ColumnSort=0&amp;page=1&amp;pageSize=25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www.digikey.com/products/en/resistors/chip-resistor-surface-mount/52?k=RT0402FRE071KL&amp;k=&amp;pkeyword=RT0402FRE071KL&amp;sv=0&amp;pv7=2&amp;sf=0&amp;quantity=&amp;ColumnSort=0&amp;page=1&amp;pageSize=25" TargetMode="External"/><Relationship Id="rId1" Type="http://schemas.openxmlformats.org/officeDocument/2006/relationships/hyperlink" Target="https://aliexpress.ru/item/4000631570932.html?spm=a2g0o.detail.1000014.24.56d127c5uknFGI&amp;gps-id=pcDetailBottomMoreOtherSeller&amp;scm=1007.13338.170725.0&amp;scm_id=1007.13338.170725.0&amp;scm-url=1007.13338.170725.0&amp;pvid=42c1bfd9-6714-4cd7-9461-373bab33a683&amp;_t=gps-i" TargetMode="External"/><Relationship Id="rId6" Type="http://schemas.openxmlformats.org/officeDocument/2006/relationships/hyperlink" Target="https://www.digikey.com/products/en/capacitors/ceramic-capacitors/60?k=CC0402KRX7R7BB104&amp;k=&amp;pkeyword=CC0402KRX7R7BB104&amp;sv=0&amp;pv7=2&amp;sf=0&amp;quantity=&amp;ColumnSort=0&amp;page=1&amp;pageSize=25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www.digikey.com/products/en/resistors/chip-resistor-surface-mount/52?k=ERJ-2RKF4702X&amp;k=&amp;pkeyword=ERJ-2RKF4702X&amp;sv=0&amp;pv7=2&amp;sf=0&amp;quantity=&amp;ColumnSort=0&amp;page=1&amp;pageSize=25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www.digikey.com/products/en/resistors/chip-resistor-surface-mount/52?k=RC0402FR-0722K6L&amp;k=&amp;pkeyword=RC0402FR-0722K6L&amp;sv=0&amp;pv7=2&amp;sf=0&amp;quantity=&amp;ColumnSort=0&amp;page=1&amp;pageSize=25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product-detail/en/koa-speer-electronics-inc/RK73H1ETTP1002F/2019-RK73H1ETTP1002FCT-ND/9846198" TargetMode="External"/><Relationship Id="rId13" Type="http://schemas.openxmlformats.org/officeDocument/2006/relationships/comments" Target="../comments2.xml"/><Relationship Id="rId3" Type="http://schemas.openxmlformats.org/officeDocument/2006/relationships/hyperlink" Target="https://www.digikey.com/product-detail/en/nichicon/UCD1V471MNL6GS/493-14715-1-ND/6161703" TargetMode="External"/><Relationship Id="rId7" Type="http://schemas.openxmlformats.org/officeDocument/2006/relationships/hyperlink" Target="https://www.digikey.com/product-detail/en/samsung-electro-mechanics/CL31B106KBHNNNE/1276-6767-1-ND/5961626" TargetMode="External"/><Relationship Id="rId12" Type="http://schemas.openxmlformats.org/officeDocument/2006/relationships/table" Target="../tables/table2.xml"/><Relationship Id="rId2" Type="http://schemas.openxmlformats.org/officeDocument/2006/relationships/hyperlink" Target="https://www.digikey.com/product-detail/en/texas-instruments/CSD18540Q5B/296-41076-1-ND/5181337" TargetMode="External"/><Relationship Id="rId1" Type="http://schemas.openxmlformats.org/officeDocument/2006/relationships/hyperlink" Target="https://www.digikey.com/product-detail/en/texas-instruments/DRV8701ERGET/296-42155-1-ND/5299196" TargetMode="External"/><Relationship Id="rId6" Type="http://schemas.openxmlformats.org/officeDocument/2006/relationships/hyperlink" Target="https://www.digikey.com/product-detail/en/samsung-electro-mechanics/CL10B105KO8NNNC/1276-1019-1-ND/3889105" TargetMode="External"/><Relationship Id="rId11" Type="http://schemas.openxmlformats.org/officeDocument/2006/relationships/vmlDrawing" Target="../drawings/vmlDrawing2.vml"/><Relationship Id="rId5" Type="http://schemas.openxmlformats.org/officeDocument/2006/relationships/hyperlink" Target="https://www.digikey.com/product-detail/en/walsin-technology-corporation/0201B102K160CT/1292-1117-1-ND/9355121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www.digikey.com/product-detail/en/samsung-electro-mechanics/CL05B104KB54PNC/1276-CL05B104KB54PNCCT-ND/11487900" TargetMode="External"/><Relationship Id="rId9" Type="http://schemas.openxmlformats.org/officeDocument/2006/relationships/hyperlink" Target="https://www.digikey.com/product-detail/en/yageo/RC0603FR-0768KL/311-68-0KHRCT-ND/730299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product-detail/en/samsung-electro-mechanics/CL21B105KBFNNNE/1276-1029-1-ND/3889115" TargetMode="External"/><Relationship Id="rId13" Type="http://schemas.openxmlformats.org/officeDocument/2006/relationships/hyperlink" Target="https://www.digikey.com/product-detail/en/yageo/RC0402FR-0716K9L/YAG3003CT-ND/5281868" TargetMode="External"/><Relationship Id="rId3" Type="http://schemas.openxmlformats.org/officeDocument/2006/relationships/hyperlink" Target="https://www.digikey.com/product-detail/en/on-semiconductor/MJD45H11T4G/MJD45H11T4GOSTR-ND/919483" TargetMode="External"/><Relationship Id="rId7" Type="http://schemas.openxmlformats.org/officeDocument/2006/relationships/hyperlink" Target="https://www.digikey.com/product-detail/en/on-semiconductor/MJD31CT4G/MJD31CT4GOSCT-ND/1139773" TargetMode="External"/><Relationship Id="rId12" Type="http://schemas.openxmlformats.org/officeDocument/2006/relationships/hyperlink" Target="https://www.digikey.com/product-detail/en/panasonic-electronic-components/ERJ-2RKF4753X/P475KLCT-ND/194421" TargetMode="External"/><Relationship Id="rId2" Type="http://schemas.openxmlformats.org/officeDocument/2006/relationships/hyperlink" Target="https://www.digikey.com/product-detail/en/on-semiconductor/MJD32CT4G/MJD32CT4GOSCT-ND/1139774" TargetMode="External"/><Relationship Id="rId16" Type="http://schemas.openxmlformats.org/officeDocument/2006/relationships/table" Target="../tables/table3.xml"/><Relationship Id="rId1" Type="http://schemas.openxmlformats.org/officeDocument/2006/relationships/hyperlink" Target="https://www.digikey.com/product-detail/en/texas-instruments/BQ24450DWTR/296-24367-1-ND/2051746" TargetMode="External"/><Relationship Id="rId6" Type="http://schemas.openxmlformats.org/officeDocument/2006/relationships/hyperlink" Target="https://www.digikey.com/product-detail/en/diodes-incorporated/ES3AB-13-F/ES3AB-FDICT-ND/775776" TargetMode="External"/><Relationship Id="rId11" Type="http://schemas.openxmlformats.org/officeDocument/2006/relationships/hyperlink" Target="https://www.digikey.com/product-detail/en/panasonic-electronic-components/ERJ-2RKF4642X/P46-4KLCT-ND/194415" TargetMode="External"/><Relationship Id="rId5" Type="http://schemas.openxmlformats.org/officeDocument/2006/relationships/hyperlink" Target="https://www.digikey.com/product-detail/en/yageo/RC0201JR-0710KL/311-10KNCT-ND/1949007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www.digikey.com/product-detail/en/panasonic-electronic-components/ERJ-8BWJR082V/P-082AVCT-ND/1711729" TargetMode="External"/><Relationship Id="rId4" Type="http://schemas.openxmlformats.org/officeDocument/2006/relationships/hyperlink" Target="https://www.digikey.com/product-detail/en/yageo/RC0402FR-07442RL/YAG3162CT-ND/5282027" TargetMode="External"/><Relationship Id="rId9" Type="http://schemas.openxmlformats.org/officeDocument/2006/relationships/hyperlink" Target="https://www.digikey.com/product-detail/en/kemet/C0402C104Z4VAC7867/399-1043-1-ND/411318" TargetMode="External"/><Relationship Id="rId14" Type="http://schemas.openxmlformats.org/officeDocument/2006/relationships/hyperlink" Target="https://www.digikey.com/product-detail/en/yageo/RC0603FR-07162KL/311-162KHRCT-ND/729922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https://www.amazon.com/Universal-Motorcycle-Indicator-Cruiser-mounting/dp/B011DXKB42" TargetMode="External"/><Relationship Id="rId7" Type="http://schemas.openxmlformats.org/officeDocument/2006/relationships/vmlDrawing" Target="../drawings/vmlDrawing3.vml"/><Relationship Id="rId2" Type="http://schemas.openxmlformats.org/officeDocument/2006/relationships/hyperlink" Target="https://www.digikey.com/product-detail/en/adafruit-industries-llc/412/1528-1551-ND/5819056" TargetMode="External"/><Relationship Id="rId1" Type="http://schemas.openxmlformats.org/officeDocument/2006/relationships/hyperlink" Target="https://uk.rs-online.com/web/p/piezo-buzzer-components/6173097/?searchTerm=6173097&amp;relevancy-data=636F3D3126696E3D4931384E525353746F636B4E756D6265724D504E266C753D656E266D6D3D6D61746368616C6C26706D3D5E5C647B367D247C5E5C647B377D247C5E5C647B31307D2426706F3D3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robotshop.com/en/crash-sensor-left.html" TargetMode="External"/><Relationship Id="rId4" Type="http://schemas.openxmlformats.org/officeDocument/2006/relationships/hyperlink" Target="https://www.robotshop.com/en/weatherproof-ultrasonic-sensor-separate-probe.html?utm_source=google&amp;utm_medium=surfaces&amp;utm_campaign=surfaces_across_google_usen&amp;gclid=Cj0KCQjw6PD3BRDPARIsAN8pHuF99LbEp96eODb06f457DKcWD6koyLSoLVvCegX-RrvwFdjpnej_c0aAkeDEALw_w" TargetMode="External"/><Relationship Id="rId9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product-detail/en/nichicon/UCD1V471MNL6GS/493-14715-1-ND/6161703" TargetMode="External"/><Relationship Id="rId7" Type="http://schemas.openxmlformats.org/officeDocument/2006/relationships/comments" Target="../comments4.xml"/><Relationship Id="rId2" Type="http://schemas.openxmlformats.org/officeDocument/2006/relationships/hyperlink" Target="https://www.aliexpress.com/item/32755026780.html?spm=a2g0v.12057483.0.0.290b2fe3GOOEr2" TargetMode="External"/><Relationship Id="rId1" Type="http://schemas.openxmlformats.org/officeDocument/2006/relationships/hyperlink" Target="https://www.digikey.com/product-detail/en/amphenol-icc-fci/95278-101A06LF/609-3487-1-ND/2044025" TargetMode="External"/><Relationship Id="rId6" Type="http://schemas.openxmlformats.org/officeDocument/2006/relationships/table" Target="../tables/table5.xml"/><Relationship Id="rId5" Type="http://schemas.openxmlformats.org/officeDocument/2006/relationships/vmlDrawing" Target="../drawings/vmlDrawing4.vm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https://www.digikey.com/product-detail/en/panasonic-electronic-components/ERJ-2GEJ164X/P160KJCT-ND/146883" TargetMode="External"/><Relationship Id="rId7" Type="http://schemas.openxmlformats.org/officeDocument/2006/relationships/hyperlink" Target="https://www.digikey.com/product-detail/en/yageo/RC1206FR-07499KL/311-499KFRCT-ND/731892" TargetMode="External"/><Relationship Id="rId2" Type="http://schemas.openxmlformats.org/officeDocument/2006/relationships/hyperlink" Target="https://www.digikey.com/products/en/integrated-circuits-ics/pmic-voltage-regulators-linear/699?k=LDO&amp;k=&amp;pkeyword=LDO&amp;sv=0&amp;pv477=u6%C2%B5A&amp;sf=1&amp;FV=7%7C2%2C41%7C347431%2C129%7C119750%2Cii1%7C1065%2C1779%7C249171%2C1989%7C0%2C-8%7C699%2C573%7C97403&amp;quantity=" TargetMode="External"/><Relationship Id="rId1" Type="http://schemas.openxmlformats.org/officeDocument/2006/relationships/hyperlink" Target="https://www.digikey.com/products/en/integrated-circuits-ics/pmic-voltage-regulators-linear/699?k=LDO&amp;k=&amp;pkeyword=LDO&amp;sv=0&amp;pv477=u80%C2%B5A&amp;sf=1&amp;FV=7%7C2%2C129%7C119750%2Cii1%7C1065%2C1779%7C174115%2C1989%7C0%2C-8%7C699%2C573%7C108742&amp;quantity=&amp;ColumnSort=" TargetMode="External"/><Relationship Id="rId6" Type="http://schemas.openxmlformats.org/officeDocument/2006/relationships/hyperlink" Target="https://www.digikey.com/product-detail/en/samsung-electro-mechanics/CL21A106KOQNNNG/1276-6455-1-ND/5958083" TargetMode="External"/><Relationship Id="rId5" Type="http://schemas.openxmlformats.org/officeDocument/2006/relationships/hyperlink" Target="https://www.digikey.com/product-detail/en/samsung-electro-mechanics/CL31A225KBHNNNE/1276-2878-1-ND/3890964" TargetMode="External"/><Relationship Id="rId4" Type="http://schemas.openxmlformats.org/officeDocument/2006/relationships/hyperlink" Target="https://www.digikey.com/product-detail/en/samsung-electro-mechanics/CL21B105KBFNNNE/1276-1029-1-ND/3889115" TargetMode="External"/><Relationship Id="rId9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32599246022.html?spm=a2g0o.productlist.0.0.3570e77ch1ahJ0&amp;algo_pvid=6866b737-385b-4f81-9910-45343ac95312&amp;algo_expid=6866b737-385b-4f81-9910-45343ac95312-1&amp;btsid=0be3764315948475284077811e7fa2&amp;ws_ab_test=searchweb0_0,searchw" TargetMode="External"/><Relationship Id="rId13" Type="http://schemas.openxmlformats.org/officeDocument/2006/relationships/comments" Target="../comments5.xml"/><Relationship Id="rId3" Type="http://schemas.openxmlformats.org/officeDocument/2006/relationships/hyperlink" Target="https://www.digikey.com/product-detail/en/panasonic-electronic-components/ERJ-2GEJ103X/P10KJCT-ND/146734" TargetMode="External"/><Relationship Id="rId7" Type="http://schemas.openxmlformats.org/officeDocument/2006/relationships/hyperlink" Target="https://www.digikey.com/product-detail/en/sparkfun-electronics/COM-09032/1568-1526-ND/6823623" TargetMode="External"/><Relationship Id="rId12" Type="http://schemas.openxmlformats.org/officeDocument/2006/relationships/table" Target="../tables/table7.xml"/><Relationship Id="rId2" Type="http://schemas.openxmlformats.org/officeDocument/2006/relationships/hyperlink" Target="https://www.digikey.com/product-detail/en/omron-electronics-inc-emc-div/B3U-1000P/SW1020CT-ND/1534357" TargetMode="External"/><Relationship Id="rId1" Type="http://schemas.openxmlformats.org/officeDocument/2006/relationships/hyperlink" Target="https://www.digikey.com/products/en/integrated-circuits-ics/embedded-microcontrollers/685?k=ATMEGA328P-AUR&amp;k=&amp;pkeyword=ATMEGA328P-AUR&amp;sv=0&amp;pv7=2&amp;sf=0&amp;quantity=&amp;ColumnSort=0&amp;page=1&amp;pageSize=25" TargetMode="External"/><Relationship Id="rId6" Type="http://schemas.openxmlformats.org/officeDocument/2006/relationships/hyperlink" Target="https://www.digikey.com/product-detail/en/kemet/C0402C104Z4VAC7867/399-1043-1-ND/411318" TargetMode="External"/><Relationship Id="rId11" Type="http://schemas.openxmlformats.org/officeDocument/2006/relationships/vmlDrawing" Target="../drawings/vmlDrawing5.vml"/><Relationship Id="rId5" Type="http://schemas.openxmlformats.org/officeDocument/2006/relationships/hyperlink" Target="https://www.digikey.com/product-detail/en/kemet/C0805C200J4GAC7800/399-9987-1-ND/3736986" TargetMode="External"/><Relationship Id="rId10" Type="http://schemas.openxmlformats.org/officeDocument/2006/relationships/drawing" Target="../drawings/drawing3.xml"/><Relationship Id="rId4" Type="http://schemas.openxmlformats.org/officeDocument/2006/relationships/hyperlink" Target="https://www.digikey.com/product-detail/en/ecs-inc/ECS-200-20-3X-EN-TR/XC1796CT-ND/2676660" TargetMode="External"/><Relationship Id="rId9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0"/>
  <sheetViews>
    <sheetView workbookViewId="0">
      <selection activeCell="B9" sqref="B9"/>
    </sheetView>
  </sheetViews>
  <sheetFormatPr defaultRowHeight="15" x14ac:dyDescent="0.25"/>
  <cols>
    <col min="1" max="1" width="5.140625" bestFit="1" customWidth="1"/>
    <col min="2" max="2" width="19.42578125" customWidth="1"/>
    <col min="3" max="3" width="25.28515625" customWidth="1"/>
    <col min="4" max="4" width="56.140625" bestFit="1" customWidth="1"/>
    <col min="5" max="5" width="12.5703125" customWidth="1"/>
    <col min="6" max="6" width="9.140625" bestFit="1" customWidth="1"/>
    <col min="8" max="8" width="9.7109375" bestFit="1" customWidth="1"/>
    <col min="9" max="9" width="10.7109375" customWidth="1"/>
  </cols>
  <sheetData>
    <row r="1" spans="1:9" x14ac:dyDescent="0.25">
      <c r="A1" s="23" t="s">
        <v>0</v>
      </c>
      <c r="B1" s="24" t="s">
        <v>1</v>
      </c>
      <c r="C1" s="8" t="s">
        <v>7</v>
      </c>
      <c r="D1" s="24" t="s">
        <v>2</v>
      </c>
      <c r="E1" s="8" t="s">
        <v>3</v>
      </c>
      <c r="F1" s="8" t="s">
        <v>4</v>
      </c>
      <c r="G1" s="8" t="s">
        <v>11</v>
      </c>
      <c r="H1" s="8" t="s">
        <v>12</v>
      </c>
      <c r="I1" s="25" t="s">
        <v>5</v>
      </c>
    </row>
    <row r="2" spans="1:9" x14ac:dyDescent="0.25">
      <c r="A2" s="26">
        <v>1</v>
      </c>
      <c r="B2" s="27" t="s">
        <v>33</v>
      </c>
      <c r="C2" s="11" t="s">
        <v>34</v>
      </c>
      <c r="D2" s="27" t="s">
        <v>86</v>
      </c>
      <c r="E2" s="12" t="s">
        <v>10</v>
      </c>
      <c r="F2" s="13">
        <v>9.01</v>
      </c>
      <c r="G2" s="11">
        <v>1</v>
      </c>
      <c r="H2" s="13">
        <f>G2*F2</f>
        <v>9.01</v>
      </c>
      <c r="I2" s="28"/>
    </row>
    <row r="3" spans="1:9" x14ac:dyDescent="0.25">
      <c r="A3" s="26">
        <v>2</v>
      </c>
      <c r="B3" s="27" t="s">
        <v>84</v>
      </c>
      <c r="C3" s="11" t="s">
        <v>62</v>
      </c>
      <c r="D3" s="27" t="s">
        <v>85</v>
      </c>
      <c r="E3" s="29" t="s">
        <v>40</v>
      </c>
      <c r="F3" s="13">
        <v>1.35</v>
      </c>
      <c r="G3" s="11">
        <v>1</v>
      </c>
      <c r="H3" s="13">
        <f t="shared" ref="H3:H9" si="0">G3*F3</f>
        <v>1.35</v>
      </c>
      <c r="I3" s="28"/>
    </row>
    <row r="4" spans="1:9" x14ac:dyDescent="0.25">
      <c r="A4" s="26">
        <v>3</v>
      </c>
      <c r="B4" s="27" t="s">
        <v>28</v>
      </c>
      <c r="C4" s="11" t="s">
        <v>63</v>
      </c>
      <c r="D4" s="27" t="s">
        <v>87</v>
      </c>
      <c r="E4" s="29" t="s">
        <v>40</v>
      </c>
      <c r="F4" s="13">
        <v>0.1</v>
      </c>
      <c r="G4" s="11">
        <v>1</v>
      </c>
      <c r="H4" s="13">
        <f t="shared" si="0"/>
        <v>0.1</v>
      </c>
      <c r="I4" s="28"/>
    </row>
    <row r="5" spans="1:9" x14ac:dyDescent="0.25">
      <c r="A5" s="26">
        <v>4</v>
      </c>
      <c r="B5" s="27" t="s">
        <v>28</v>
      </c>
      <c r="C5" s="11" t="s">
        <v>63</v>
      </c>
      <c r="D5" s="27" t="s">
        <v>88</v>
      </c>
      <c r="E5" s="29" t="s">
        <v>40</v>
      </c>
      <c r="F5" s="13">
        <v>0.1</v>
      </c>
      <c r="G5" s="11">
        <v>1</v>
      </c>
      <c r="H5" s="13">
        <f t="shared" si="0"/>
        <v>0.1</v>
      </c>
      <c r="I5" s="28"/>
    </row>
    <row r="6" spans="1:9" x14ac:dyDescent="0.25">
      <c r="A6" s="26">
        <v>5</v>
      </c>
      <c r="B6" s="27" t="s">
        <v>28</v>
      </c>
      <c r="C6" s="11" t="s">
        <v>64</v>
      </c>
      <c r="D6" s="27" t="s">
        <v>89</v>
      </c>
      <c r="E6" s="29" t="s">
        <v>40</v>
      </c>
      <c r="F6" s="13">
        <v>0.1</v>
      </c>
      <c r="G6" s="11">
        <v>1</v>
      </c>
      <c r="H6" s="13">
        <f t="shared" si="0"/>
        <v>0.1</v>
      </c>
      <c r="I6" s="28"/>
    </row>
    <row r="7" spans="1:9" x14ac:dyDescent="0.25">
      <c r="A7" s="26">
        <v>6</v>
      </c>
      <c r="B7" s="27" t="s">
        <v>19</v>
      </c>
      <c r="C7" s="11" t="s">
        <v>65</v>
      </c>
      <c r="D7" s="27" t="s">
        <v>90</v>
      </c>
      <c r="E7" s="29" t="s">
        <v>40</v>
      </c>
      <c r="F7" s="13">
        <v>0.5</v>
      </c>
      <c r="G7" s="11">
        <v>1</v>
      </c>
      <c r="H7" s="13">
        <f t="shared" si="0"/>
        <v>0.5</v>
      </c>
      <c r="I7" s="28"/>
    </row>
    <row r="8" spans="1:9" x14ac:dyDescent="0.25">
      <c r="A8" s="30">
        <v>7</v>
      </c>
      <c r="B8" s="31" t="s">
        <v>19</v>
      </c>
      <c r="C8" s="17" t="s">
        <v>66</v>
      </c>
      <c r="D8" s="31" t="s">
        <v>90</v>
      </c>
      <c r="E8" s="32" t="s">
        <v>40</v>
      </c>
      <c r="F8" s="19">
        <v>0.1</v>
      </c>
      <c r="G8" s="17">
        <v>1</v>
      </c>
      <c r="H8" s="13">
        <f t="shared" si="0"/>
        <v>0.1</v>
      </c>
      <c r="I8" s="33"/>
    </row>
    <row r="9" spans="1:9" x14ac:dyDescent="0.25">
      <c r="A9" s="37">
        <v>8</v>
      </c>
      <c r="B9" s="38" t="s">
        <v>91</v>
      </c>
      <c r="C9" s="39" t="s">
        <v>92</v>
      </c>
      <c r="D9" s="38" t="s">
        <v>93</v>
      </c>
      <c r="E9" s="42" t="s">
        <v>10</v>
      </c>
      <c r="F9" s="40">
        <v>1.49</v>
      </c>
      <c r="G9" s="39">
        <v>1</v>
      </c>
      <c r="H9" s="13">
        <f t="shared" si="0"/>
        <v>1.49</v>
      </c>
      <c r="I9" s="41"/>
    </row>
    <row r="10" spans="1:9" x14ac:dyDescent="0.25">
      <c r="A10" s="37"/>
      <c r="B10" s="38"/>
      <c r="C10" s="39"/>
      <c r="D10" s="38"/>
      <c r="E10" s="39"/>
      <c r="F10" s="40"/>
      <c r="G10" s="39"/>
      <c r="H10" s="40">
        <f>SUM(H2:H9)</f>
        <v>12.749999999999998</v>
      </c>
      <c r="I10" s="41"/>
    </row>
  </sheetData>
  <hyperlinks>
    <hyperlink ref="E2" r:id="rId1"/>
    <hyperlink ref="E4" r:id="rId2"/>
    <hyperlink ref="E3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  <pageSetup orientation="portrait" horizontalDpi="300" verticalDpi="300" r:id="rId9"/>
  <legacyDrawing r:id="rId10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3"/>
  <sheetViews>
    <sheetView workbookViewId="0">
      <selection activeCell="F2" sqref="F2:H3"/>
    </sheetView>
  </sheetViews>
  <sheetFormatPr defaultRowHeight="15" x14ac:dyDescent="0.25"/>
  <cols>
    <col min="1" max="1" width="5.140625" bestFit="1" customWidth="1"/>
    <col min="2" max="2" width="19.28515625" customWidth="1"/>
    <col min="3" max="3" width="20" customWidth="1"/>
    <col min="4" max="4" width="32.7109375" bestFit="1" customWidth="1"/>
    <col min="5" max="5" width="14" customWidth="1"/>
    <col min="6" max="6" width="11.140625" customWidth="1"/>
    <col min="7" max="7" width="9" customWidth="1"/>
    <col min="8" max="8" width="11.85546875" customWidth="1"/>
    <col min="9" max="9" width="10.7109375" customWidth="1"/>
  </cols>
  <sheetData>
    <row r="1" spans="1:9" x14ac:dyDescent="0.25">
      <c r="A1" s="23" t="s">
        <v>0</v>
      </c>
      <c r="B1" s="7" t="s">
        <v>1</v>
      </c>
      <c r="C1" s="8" t="s">
        <v>7</v>
      </c>
      <c r="D1" s="7" t="s">
        <v>2</v>
      </c>
      <c r="E1" s="8" t="s">
        <v>3</v>
      </c>
      <c r="F1" s="8" t="s">
        <v>4</v>
      </c>
      <c r="G1" s="8" t="s">
        <v>11</v>
      </c>
      <c r="H1" s="8" t="s">
        <v>12</v>
      </c>
      <c r="I1" s="9" t="s">
        <v>5</v>
      </c>
    </row>
    <row r="2" spans="1:9" x14ac:dyDescent="0.25">
      <c r="A2" s="26">
        <v>1</v>
      </c>
      <c r="B2" s="10" t="s">
        <v>6</v>
      </c>
      <c r="C2" s="11" t="s">
        <v>8</v>
      </c>
      <c r="D2" s="10" t="s">
        <v>9</v>
      </c>
      <c r="E2" s="12" t="s">
        <v>10</v>
      </c>
      <c r="F2" s="13">
        <v>2.37</v>
      </c>
      <c r="G2" s="14">
        <v>1</v>
      </c>
      <c r="H2" s="13">
        <f>G2*F2</f>
        <v>2.37</v>
      </c>
      <c r="I2" s="15"/>
    </row>
    <row r="3" spans="1:9" x14ac:dyDescent="0.25">
      <c r="A3" s="26">
        <v>2</v>
      </c>
      <c r="B3" s="10" t="s">
        <v>13</v>
      </c>
      <c r="C3" s="11" t="s">
        <v>14</v>
      </c>
      <c r="D3" s="10" t="s">
        <v>15</v>
      </c>
      <c r="E3" s="12" t="s">
        <v>10</v>
      </c>
      <c r="F3" s="13">
        <v>2.44</v>
      </c>
      <c r="G3" s="14">
        <v>4</v>
      </c>
      <c r="H3" s="13">
        <f t="shared" ref="H3:H10" si="0">G3*F3</f>
        <v>9.76</v>
      </c>
      <c r="I3" s="15"/>
    </row>
    <row r="4" spans="1:9" x14ac:dyDescent="0.25">
      <c r="A4" s="26">
        <v>3</v>
      </c>
      <c r="B4" s="10" t="s">
        <v>16</v>
      </c>
      <c r="C4" s="11" t="s">
        <v>17</v>
      </c>
      <c r="D4" s="10" t="s">
        <v>18</v>
      </c>
      <c r="E4" s="12" t="s">
        <v>10</v>
      </c>
      <c r="F4" s="13">
        <v>1.04</v>
      </c>
      <c r="G4" s="14">
        <v>2</v>
      </c>
      <c r="H4" s="13">
        <f t="shared" si="0"/>
        <v>2.08</v>
      </c>
      <c r="I4" s="15"/>
    </row>
    <row r="5" spans="1:9" x14ac:dyDescent="0.25">
      <c r="A5" s="26">
        <v>4</v>
      </c>
      <c r="B5" s="10" t="s">
        <v>19</v>
      </c>
      <c r="C5" s="11" t="s">
        <v>24</v>
      </c>
      <c r="D5" s="10" t="s">
        <v>25</v>
      </c>
      <c r="E5" s="12" t="s">
        <v>10</v>
      </c>
      <c r="F5" s="13">
        <v>0.1</v>
      </c>
      <c r="G5" s="14">
        <v>4</v>
      </c>
      <c r="H5" s="13">
        <f t="shared" si="0"/>
        <v>0.4</v>
      </c>
      <c r="I5" s="15"/>
    </row>
    <row r="6" spans="1:9" x14ac:dyDescent="0.25">
      <c r="A6" s="26">
        <v>5</v>
      </c>
      <c r="B6" s="10" t="s">
        <v>19</v>
      </c>
      <c r="C6" s="11" t="s">
        <v>20</v>
      </c>
      <c r="D6" s="10" t="s">
        <v>21</v>
      </c>
      <c r="E6" s="12" t="s">
        <v>10</v>
      </c>
      <c r="F6" s="13">
        <v>0.1</v>
      </c>
      <c r="G6" s="14">
        <v>1</v>
      </c>
      <c r="H6" s="13">
        <f t="shared" si="0"/>
        <v>0.1</v>
      </c>
      <c r="I6" s="15"/>
    </row>
    <row r="7" spans="1:9" x14ac:dyDescent="0.25">
      <c r="A7" s="26">
        <v>6</v>
      </c>
      <c r="B7" s="10" t="s">
        <v>19</v>
      </c>
      <c r="C7" s="11" t="s">
        <v>22</v>
      </c>
      <c r="D7" s="10" t="s">
        <v>23</v>
      </c>
      <c r="E7" s="12" t="s">
        <v>10</v>
      </c>
      <c r="F7" s="13">
        <v>0.1</v>
      </c>
      <c r="G7" s="14">
        <v>3</v>
      </c>
      <c r="H7" s="13">
        <f t="shared" si="0"/>
        <v>0.30000000000000004</v>
      </c>
      <c r="I7" s="15"/>
    </row>
    <row r="8" spans="1:9" x14ac:dyDescent="0.25">
      <c r="A8" s="26">
        <v>7</v>
      </c>
      <c r="B8" s="10" t="s">
        <v>19</v>
      </c>
      <c r="C8" s="11" t="s">
        <v>26</v>
      </c>
      <c r="D8" s="10" t="s">
        <v>27</v>
      </c>
      <c r="E8" s="12" t="s">
        <v>10</v>
      </c>
      <c r="F8" s="13">
        <v>0.39</v>
      </c>
      <c r="G8" s="14">
        <v>1</v>
      </c>
      <c r="H8" s="13">
        <f t="shared" si="0"/>
        <v>0.39</v>
      </c>
      <c r="I8" s="15"/>
    </row>
    <row r="9" spans="1:9" x14ac:dyDescent="0.25">
      <c r="A9" s="26">
        <v>8</v>
      </c>
      <c r="B9" s="10" t="s">
        <v>28</v>
      </c>
      <c r="C9" s="11" t="s">
        <v>29</v>
      </c>
      <c r="D9" s="10" t="s">
        <v>30</v>
      </c>
      <c r="E9" s="12" t="s">
        <v>10</v>
      </c>
      <c r="F9" s="13">
        <v>0.1</v>
      </c>
      <c r="G9" s="14">
        <v>2</v>
      </c>
      <c r="H9" s="13">
        <f t="shared" si="0"/>
        <v>0.2</v>
      </c>
      <c r="I9" s="15"/>
    </row>
    <row r="10" spans="1:9" x14ac:dyDescent="0.25">
      <c r="A10" s="30">
        <v>9</v>
      </c>
      <c r="B10" s="16" t="s">
        <v>28</v>
      </c>
      <c r="C10" s="17" t="s">
        <v>31</v>
      </c>
      <c r="D10" s="16" t="s">
        <v>32</v>
      </c>
      <c r="E10" s="18" t="s">
        <v>10</v>
      </c>
      <c r="F10" s="19">
        <v>0.1</v>
      </c>
      <c r="G10" s="20">
        <v>1</v>
      </c>
      <c r="H10" s="19">
        <f t="shared" si="0"/>
        <v>0.1</v>
      </c>
      <c r="I10" s="21"/>
    </row>
    <row r="11" spans="1:9" x14ac:dyDescent="0.25">
      <c r="A11" s="30"/>
      <c r="B11" s="16"/>
      <c r="C11" s="17"/>
      <c r="D11" s="16"/>
      <c r="E11" s="18"/>
      <c r="F11" s="19"/>
      <c r="G11" s="20"/>
      <c r="H11" s="19">
        <f>SUM(H2:H10)</f>
        <v>15.7</v>
      </c>
      <c r="I11" s="21"/>
    </row>
    <row r="12" spans="1:9" x14ac:dyDescent="0.25">
      <c r="C12" s="2"/>
      <c r="E12" s="2"/>
      <c r="F12" s="3"/>
      <c r="G12" s="5"/>
      <c r="H12" s="3"/>
    </row>
    <row r="13" spans="1:9" x14ac:dyDescent="0.25">
      <c r="C13" s="2"/>
      <c r="E13" s="2"/>
      <c r="F13" s="3"/>
      <c r="G13" s="5"/>
      <c r="H13" s="3"/>
    </row>
    <row r="14" spans="1:9" x14ac:dyDescent="0.25">
      <c r="C14" s="2"/>
      <c r="E14" s="2"/>
      <c r="F14" s="3"/>
      <c r="G14" s="5"/>
      <c r="H14" s="3"/>
    </row>
    <row r="15" spans="1:9" x14ac:dyDescent="0.25">
      <c r="C15" s="2"/>
      <c r="E15" s="2"/>
      <c r="F15" s="3"/>
      <c r="G15" s="5"/>
      <c r="H15" s="3"/>
    </row>
    <row r="16" spans="1:9" x14ac:dyDescent="0.25">
      <c r="C16" s="2"/>
      <c r="E16" s="2"/>
      <c r="F16" s="3"/>
      <c r="G16" s="5"/>
      <c r="H16" s="3"/>
    </row>
    <row r="17" spans="5:8" x14ac:dyDescent="0.25">
      <c r="E17" s="2"/>
      <c r="F17" s="3"/>
      <c r="G17" s="5"/>
      <c r="H17" s="3"/>
    </row>
    <row r="18" spans="5:8" x14ac:dyDescent="0.25">
      <c r="E18" s="2"/>
      <c r="F18" s="3"/>
      <c r="G18" s="5"/>
      <c r="H18" s="4"/>
    </row>
    <row r="19" spans="5:8" x14ac:dyDescent="0.25">
      <c r="E19" s="2"/>
      <c r="F19" s="3"/>
      <c r="G19" s="5"/>
      <c r="H19" s="4"/>
    </row>
    <row r="20" spans="5:8" x14ac:dyDescent="0.25">
      <c r="E20" s="2"/>
      <c r="F20" s="2"/>
      <c r="G20" s="5"/>
      <c r="H20" s="4"/>
    </row>
    <row r="21" spans="5:8" x14ac:dyDescent="0.25">
      <c r="E21" s="2"/>
      <c r="F21" s="2"/>
      <c r="G21" s="5"/>
      <c r="H21" s="2"/>
    </row>
    <row r="22" spans="5:8" x14ac:dyDescent="0.25">
      <c r="G22" s="6"/>
      <c r="H22" s="1"/>
    </row>
    <row r="23" spans="5:8" x14ac:dyDescent="0.25">
      <c r="G23" s="6"/>
      <c r="H23" s="1"/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  <pageSetup orientation="portrait" horizontalDpi="300" verticalDpi="300" r:id="rId10"/>
  <legacyDrawing r:id="rId11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C5" sqref="C5"/>
    </sheetView>
  </sheetViews>
  <sheetFormatPr defaultRowHeight="15" x14ac:dyDescent="0.25"/>
  <cols>
    <col min="1" max="1" width="5.7109375" customWidth="1"/>
    <col min="2" max="2" width="24.42578125" customWidth="1"/>
    <col min="3" max="3" width="27.42578125" customWidth="1"/>
    <col min="4" max="4" width="33" customWidth="1"/>
    <col min="5" max="5" width="12.140625" customWidth="1"/>
    <col min="6" max="6" width="10.140625" customWidth="1"/>
    <col min="7" max="7" width="6.7109375" customWidth="1"/>
    <col min="8" max="8" width="10.5703125" customWidth="1"/>
    <col min="9" max="9" width="11.5703125" customWidth="1"/>
  </cols>
  <sheetData>
    <row r="1" spans="1:9" x14ac:dyDescent="0.25">
      <c r="A1" s="34" t="s">
        <v>0</v>
      </c>
      <c r="B1" s="35" t="s">
        <v>1</v>
      </c>
      <c r="C1" s="22" t="s">
        <v>7</v>
      </c>
      <c r="D1" s="35" t="s">
        <v>2</v>
      </c>
      <c r="E1" s="22" t="s">
        <v>3</v>
      </c>
      <c r="F1" s="22" t="s">
        <v>4</v>
      </c>
      <c r="G1" s="22" t="s">
        <v>11</v>
      </c>
      <c r="H1" s="22" t="s">
        <v>12</v>
      </c>
      <c r="I1" s="36" t="s">
        <v>5</v>
      </c>
    </row>
    <row r="2" spans="1:9" x14ac:dyDescent="0.25">
      <c r="A2" s="26">
        <v>1</v>
      </c>
      <c r="B2" s="27" t="s">
        <v>96</v>
      </c>
      <c r="C2" s="11" t="s">
        <v>37</v>
      </c>
      <c r="D2" s="27" t="s">
        <v>38</v>
      </c>
      <c r="E2" s="12" t="s">
        <v>10</v>
      </c>
      <c r="F2" s="43">
        <v>11.3</v>
      </c>
      <c r="G2" s="11">
        <v>1</v>
      </c>
      <c r="H2" s="43">
        <f>Table3[[#This Row],[Qty]]*Table3[[#This Row],[Unit Cost]]</f>
        <v>11.3</v>
      </c>
      <c r="I2" s="28"/>
    </row>
    <row r="3" spans="1:9" x14ac:dyDescent="0.25">
      <c r="A3" s="26">
        <v>2</v>
      </c>
      <c r="B3" s="27" t="s">
        <v>97</v>
      </c>
      <c r="C3" s="11" t="s">
        <v>98</v>
      </c>
      <c r="D3" s="45" t="s">
        <v>99</v>
      </c>
      <c r="E3" s="12" t="s">
        <v>10</v>
      </c>
      <c r="F3" s="43">
        <v>0.57999999999999996</v>
      </c>
      <c r="G3" s="11">
        <v>1</v>
      </c>
      <c r="H3" s="43">
        <f>Table3[[#This Row],[Qty]]*Table3[[#This Row],[Unit Cost]]</f>
        <v>0.57999999999999996</v>
      </c>
      <c r="I3" s="28"/>
    </row>
    <row r="4" spans="1:9" x14ac:dyDescent="0.25">
      <c r="A4" s="26">
        <v>3</v>
      </c>
      <c r="B4" s="27" t="s">
        <v>101</v>
      </c>
      <c r="C4" s="11" t="s">
        <v>100</v>
      </c>
      <c r="D4" s="45" t="s">
        <v>102</v>
      </c>
      <c r="E4" s="12" t="s">
        <v>10</v>
      </c>
      <c r="F4" s="43">
        <v>0.5</v>
      </c>
      <c r="G4" s="11">
        <v>1</v>
      </c>
      <c r="H4" s="43">
        <f>Table3[[#This Row],[Qty]]*Table3[[#This Row],[Unit Cost]]</f>
        <v>0.5</v>
      </c>
      <c r="I4" s="28"/>
    </row>
    <row r="5" spans="1:9" x14ac:dyDescent="0.25">
      <c r="A5" s="26">
        <v>4</v>
      </c>
      <c r="B5" s="27" t="s">
        <v>36</v>
      </c>
      <c r="C5" s="11" t="s">
        <v>94</v>
      </c>
      <c r="D5" s="45" t="s">
        <v>95</v>
      </c>
      <c r="E5" s="12" t="s">
        <v>10</v>
      </c>
      <c r="F5" s="43">
        <v>0.62</v>
      </c>
      <c r="G5" s="11">
        <v>1</v>
      </c>
      <c r="H5" s="43">
        <f>Table3[[#This Row],[Qty]]*Table3[[#This Row],[Unit Cost]]</f>
        <v>0.62</v>
      </c>
      <c r="I5" s="28"/>
    </row>
    <row r="6" spans="1:9" x14ac:dyDescent="0.25">
      <c r="A6" s="26">
        <v>5</v>
      </c>
      <c r="B6" s="27" t="s">
        <v>19</v>
      </c>
      <c r="C6" s="11" t="s">
        <v>113</v>
      </c>
      <c r="D6" s="27" t="s">
        <v>114</v>
      </c>
      <c r="E6" s="12" t="s">
        <v>40</v>
      </c>
      <c r="F6" s="43">
        <v>0.13</v>
      </c>
      <c r="G6" s="11">
        <v>1</v>
      </c>
      <c r="H6" s="43">
        <f>Table3[[#This Row],[Qty]]*Table3[[#This Row],[Unit Cost]]</f>
        <v>0.13</v>
      </c>
      <c r="I6" s="28" t="s">
        <v>145</v>
      </c>
    </row>
    <row r="7" spans="1:9" x14ac:dyDescent="0.25">
      <c r="A7" s="26">
        <v>6</v>
      </c>
      <c r="B7" s="31" t="s">
        <v>19</v>
      </c>
      <c r="C7" s="17" t="s">
        <v>82</v>
      </c>
      <c r="D7" s="31" t="s">
        <v>123</v>
      </c>
      <c r="E7" s="18" t="s">
        <v>40</v>
      </c>
      <c r="F7" s="43">
        <v>0.1</v>
      </c>
      <c r="G7" s="17">
        <v>1</v>
      </c>
      <c r="H7" s="43">
        <f>Table3[[#This Row],[Qty]]*Table3[[#This Row],[Unit Cost]]</f>
        <v>0.1</v>
      </c>
      <c r="I7" s="28"/>
    </row>
    <row r="8" spans="1:9" x14ac:dyDescent="0.25">
      <c r="A8" s="26">
        <v>7</v>
      </c>
      <c r="B8" s="27" t="s">
        <v>28</v>
      </c>
      <c r="C8" s="11" t="s">
        <v>121</v>
      </c>
      <c r="D8" s="45" t="s">
        <v>122</v>
      </c>
      <c r="E8" s="12" t="s">
        <v>10</v>
      </c>
      <c r="F8" s="43">
        <v>0.1</v>
      </c>
      <c r="G8" s="11">
        <v>1</v>
      </c>
      <c r="H8" s="43">
        <f>Table3[[#This Row],[Qty]]*Table3[[#This Row],[Unit Cost]]</f>
        <v>0.1</v>
      </c>
      <c r="I8" s="28" t="s">
        <v>144</v>
      </c>
    </row>
    <row r="9" spans="1:9" x14ac:dyDescent="0.25">
      <c r="A9" s="26">
        <v>8</v>
      </c>
      <c r="B9" s="27" t="s">
        <v>28</v>
      </c>
      <c r="C9" s="11" t="s">
        <v>127</v>
      </c>
      <c r="D9" s="45" t="s">
        <v>128</v>
      </c>
      <c r="E9" s="12" t="s">
        <v>10</v>
      </c>
      <c r="F9" s="43">
        <v>0.67</v>
      </c>
      <c r="G9" s="11">
        <v>1</v>
      </c>
      <c r="H9" s="43">
        <f>Table3[[#This Row],[Qty]]*Table3[[#This Row],[Unit Cost]]</f>
        <v>0.67</v>
      </c>
      <c r="I9" s="28" t="s">
        <v>129</v>
      </c>
    </row>
    <row r="10" spans="1:9" x14ac:dyDescent="0.25">
      <c r="A10" s="26">
        <v>9</v>
      </c>
      <c r="B10" s="27" t="s">
        <v>28</v>
      </c>
      <c r="C10" s="53" t="s">
        <v>130</v>
      </c>
      <c r="D10" s="45" t="s">
        <v>131</v>
      </c>
      <c r="E10" s="12" t="s">
        <v>10</v>
      </c>
      <c r="F10" s="43">
        <v>0.1</v>
      </c>
      <c r="G10" s="11">
        <v>1</v>
      </c>
      <c r="H10" s="43">
        <f>Table3[[#This Row],[Qty]]*Table3[[#This Row],[Unit Cost]]</f>
        <v>0.1</v>
      </c>
      <c r="I10" s="28" t="s">
        <v>132</v>
      </c>
    </row>
    <row r="11" spans="1:9" x14ac:dyDescent="0.25">
      <c r="A11" s="26">
        <v>10</v>
      </c>
      <c r="B11" s="27" t="s">
        <v>28</v>
      </c>
      <c r="C11" s="11" t="s">
        <v>133</v>
      </c>
      <c r="D11" s="45" t="s">
        <v>134</v>
      </c>
      <c r="E11" s="12" t="s">
        <v>10</v>
      </c>
      <c r="F11" s="43">
        <v>0.1</v>
      </c>
      <c r="G11" s="11">
        <v>1</v>
      </c>
      <c r="H11" s="43">
        <f>Table3[[#This Row],[Qty]]*Table3[[#This Row],[Unit Cost]]</f>
        <v>0.1</v>
      </c>
      <c r="I11" s="28" t="s">
        <v>135</v>
      </c>
    </row>
    <row r="12" spans="1:9" x14ac:dyDescent="0.25">
      <c r="A12" s="26">
        <v>11</v>
      </c>
      <c r="B12" s="27" t="s">
        <v>28</v>
      </c>
      <c r="C12" s="11" t="s">
        <v>136</v>
      </c>
      <c r="D12" s="45" t="s">
        <v>137</v>
      </c>
      <c r="E12" s="12" t="s">
        <v>10</v>
      </c>
      <c r="F12" s="43">
        <v>0.1</v>
      </c>
      <c r="G12" s="11">
        <v>1</v>
      </c>
      <c r="H12" s="43">
        <f>Table3[[#This Row],[Qty]]*Table3[[#This Row],[Unit Cost]]</f>
        <v>0.1</v>
      </c>
      <c r="I12" s="28" t="s">
        <v>138</v>
      </c>
    </row>
    <row r="13" spans="1:9" x14ac:dyDescent="0.25">
      <c r="A13" s="26">
        <v>12</v>
      </c>
      <c r="B13" s="27" t="s">
        <v>28</v>
      </c>
      <c r="C13" s="11" t="s">
        <v>140</v>
      </c>
      <c r="D13" s="45" t="s">
        <v>141</v>
      </c>
      <c r="E13" s="12" t="s">
        <v>10</v>
      </c>
      <c r="F13" s="43">
        <v>0.1</v>
      </c>
      <c r="G13" s="11">
        <v>1</v>
      </c>
      <c r="H13" s="43">
        <f>Table3[[#This Row],[Qty]]*Table3[[#This Row],[Unit Cost]]</f>
        <v>0.1</v>
      </c>
      <c r="I13" s="28" t="s">
        <v>139</v>
      </c>
    </row>
    <row r="14" spans="1:9" x14ac:dyDescent="0.25">
      <c r="A14" s="26">
        <v>13</v>
      </c>
      <c r="B14" s="27" t="s">
        <v>28</v>
      </c>
      <c r="C14" s="11" t="s">
        <v>143</v>
      </c>
      <c r="D14" s="45" t="s">
        <v>142</v>
      </c>
      <c r="E14" s="12" t="s">
        <v>10</v>
      </c>
      <c r="F14" s="43">
        <v>0.1</v>
      </c>
      <c r="G14" s="11">
        <v>1</v>
      </c>
      <c r="H14" s="43">
        <f>Table3[[#This Row],[Qty]]*Table3[[#This Row],[Unit Cost]]</f>
        <v>0.1</v>
      </c>
      <c r="I14" s="28"/>
    </row>
    <row r="15" spans="1:9" x14ac:dyDescent="0.25">
      <c r="A15" s="30"/>
      <c r="B15" s="31"/>
      <c r="C15" s="17"/>
      <c r="D15" s="64"/>
      <c r="E15" s="18"/>
      <c r="F15" s="44"/>
      <c r="G15" s="17"/>
      <c r="H15" s="44">
        <f>SUM(H2:H14)</f>
        <v>14.499999999999998</v>
      </c>
      <c r="I15" s="33"/>
    </row>
  </sheetData>
  <hyperlinks>
    <hyperlink ref="E2" r:id="rId1"/>
    <hyperlink ref="E3" r:id="rId2"/>
    <hyperlink ref="E5:E14" r:id="rId3" display="Digikey"/>
    <hyperlink ref="E8" r:id="rId4"/>
    <hyperlink ref="E14" r:id="rId5"/>
    <hyperlink ref="E5" r:id="rId6"/>
    <hyperlink ref="E4" r:id="rId7"/>
    <hyperlink ref="E6" r:id="rId8"/>
    <hyperlink ref="E7" r:id="rId9"/>
    <hyperlink ref="E9" r:id="rId10"/>
    <hyperlink ref="E10" r:id="rId11"/>
    <hyperlink ref="E11" r:id="rId12"/>
    <hyperlink ref="E12" r:id="rId13"/>
    <hyperlink ref="E13" r:id="rId14"/>
  </hyperlinks>
  <pageMargins left="0.7" right="0.7" top="0.75" bottom="0.75" header="0.3" footer="0.3"/>
  <pageSetup orientation="portrait" horizontalDpi="300" verticalDpi="300" r:id="rId15"/>
  <tableParts count="1">
    <tablePart r:id="rId1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7"/>
  <sheetViews>
    <sheetView topLeftCell="B1" workbookViewId="0">
      <selection activeCell="E26" sqref="E26"/>
    </sheetView>
  </sheetViews>
  <sheetFormatPr defaultRowHeight="15" x14ac:dyDescent="0.25"/>
  <cols>
    <col min="1" max="1" width="6.28515625" customWidth="1"/>
    <col min="2" max="2" width="23" customWidth="1"/>
    <col min="3" max="3" width="27" customWidth="1"/>
    <col min="4" max="4" width="50" bestFit="1" customWidth="1"/>
    <col min="5" max="5" width="11.85546875" bestFit="1" customWidth="1"/>
    <col min="6" max="6" width="11.28515625" customWidth="1"/>
    <col min="8" max="8" width="12.85546875" customWidth="1"/>
    <col min="9" max="9" width="10.7109375" customWidth="1"/>
  </cols>
  <sheetData>
    <row r="1" spans="1:9" x14ac:dyDescent="0.25">
      <c r="A1" s="34" t="s">
        <v>0</v>
      </c>
      <c r="B1" s="35" t="s">
        <v>1</v>
      </c>
      <c r="C1" s="22" t="s">
        <v>7</v>
      </c>
      <c r="D1" s="22" t="s">
        <v>2</v>
      </c>
      <c r="E1" s="22" t="s">
        <v>3</v>
      </c>
      <c r="F1" s="22" t="s">
        <v>4</v>
      </c>
      <c r="G1" s="22" t="s">
        <v>11</v>
      </c>
      <c r="H1" s="22" t="s">
        <v>12</v>
      </c>
      <c r="I1" s="36" t="s">
        <v>5</v>
      </c>
    </row>
    <row r="2" spans="1:9" x14ac:dyDescent="0.25">
      <c r="A2" s="26">
        <v>1</v>
      </c>
      <c r="B2" s="27" t="s">
        <v>45</v>
      </c>
      <c r="C2" s="11">
        <v>412</v>
      </c>
      <c r="D2" s="27" t="s">
        <v>46</v>
      </c>
      <c r="E2" s="12" t="s">
        <v>40</v>
      </c>
      <c r="F2" s="48">
        <v>7.5</v>
      </c>
      <c r="G2" s="11">
        <v>1</v>
      </c>
      <c r="H2" s="48">
        <f>Table6[[#This Row],[Unit Cost]]*Table6[[#This Row],[Qty]]</f>
        <v>7.5</v>
      </c>
      <c r="I2" s="15"/>
    </row>
    <row r="3" spans="1:9" x14ac:dyDescent="0.25">
      <c r="A3" s="26">
        <v>2</v>
      </c>
      <c r="B3" s="27" t="s">
        <v>47</v>
      </c>
      <c r="C3" s="11" t="s">
        <v>49</v>
      </c>
      <c r="D3" s="50" t="s">
        <v>103</v>
      </c>
      <c r="E3" s="12" t="s">
        <v>48</v>
      </c>
      <c r="F3" s="43">
        <v>3.29</v>
      </c>
      <c r="G3" s="11">
        <v>1</v>
      </c>
      <c r="H3" s="48">
        <f>Table6[[#This Row],[Unit Cost]]*Table6[[#This Row],[Qty]]</f>
        <v>3.29</v>
      </c>
      <c r="I3" s="15"/>
    </row>
    <row r="4" spans="1:9" x14ac:dyDescent="0.25">
      <c r="A4" s="26">
        <v>3</v>
      </c>
      <c r="B4" s="27" t="s">
        <v>104</v>
      </c>
      <c r="C4" s="11" t="s">
        <v>55</v>
      </c>
      <c r="D4" s="51" t="s">
        <v>56</v>
      </c>
      <c r="E4" s="12" t="s">
        <v>57</v>
      </c>
      <c r="F4" s="43">
        <v>16</v>
      </c>
      <c r="G4" s="11">
        <v>4</v>
      </c>
      <c r="H4" s="48">
        <f>Table6[[#This Row],[Unit Cost]]*Table6[[#This Row],[Qty]]</f>
        <v>64</v>
      </c>
      <c r="I4" s="15"/>
    </row>
    <row r="5" spans="1:9" x14ac:dyDescent="0.25">
      <c r="A5" s="26">
        <v>4</v>
      </c>
      <c r="B5" s="52" t="s">
        <v>50</v>
      </c>
      <c r="C5" s="11" t="s">
        <v>55</v>
      </c>
      <c r="D5" s="27" t="s">
        <v>52</v>
      </c>
      <c r="E5" s="12" t="s">
        <v>51</v>
      </c>
      <c r="F5" s="43">
        <v>10.99</v>
      </c>
      <c r="G5" s="11">
        <v>2</v>
      </c>
      <c r="H5" s="48">
        <f>Table6[[#This Row],[Unit Cost]]*Table6[[#This Row],[Qty]]</f>
        <v>21.98</v>
      </c>
      <c r="I5" s="15"/>
    </row>
    <row r="6" spans="1:9" x14ac:dyDescent="0.25">
      <c r="A6" s="30">
        <v>5</v>
      </c>
      <c r="B6" s="38" t="s">
        <v>53</v>
      </c>
      <c r="C6" s="17" t="s">
        <v>55</v>
      </c>
      <c r="D6" s="31" t="s">
        <v>54</v>
      </c>
      <c r="E6" s="18" t="s">
        <v>57</v>
      </c>
      <c r="F6" s="44">
        <v>2.5</v>
      </c>
      <c r="G6" s="17">
        <v>4</v>
      </c>
      <c r="H6" s="48">
        <f>Table6[[#This Row],[Unit Cost]]*Table6[[#This Row],[Qty]]</f>
        <v>10</v>
      </c>
      <c r="I6" s="21"/>
    </row>
    <row r="7" spans="1:9" x14ac:dyDescent="0.25">
      <c r="A7" s="30"/>
      <c r="B7" s="31"/>
      <c r="C7" s="17"/>
      <c r="D7" s="65"/>
      <c r="E7" s="18"/>
      <c r="F7" s="44"/>
      <c r="G7" s="17"/>
      <c r="H7" s="66">
        <f>SUM(H2:H6)</f>
        <v>106.77</v>
      </c>
      <c r="I7" s="21"/>
    </row>
  </sheetData>
  <hyperlinks>
    <hyperlink ref="E3" r:id="rId1"/>
    <hyperlink ref="E2" r:id="rId2"/>
    <hyperlink ref="E5" r:id="rId3"/>
    <hyperlink ref="E4" r:id="rId4"/>
    <hyperlink ref="E6" r:id="rId5"/>
  </hyperlinks>
  <pageMargins left="0.7" right="0.7" top="0.75" bottom="0.75" header="0.3" footer="0.3"/>
  <drawing r:id="rId6"/>
  <legacyDrawing r:id="rId7"/>
  <tableParts count="1"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"/>
  <sheetViews>
    <sheetView workbookViewId="0">
      <selection activeCell="C40" sqref="C40"/>
    </sheetView>
  </sheetViews>
  <sheetFormatPr defaultRowHeight="15" x14ac:dyDescent="0.25"/>
  <cols>
    <col min="1" max="1" width="5.140625" bestFit="1" customWidth="1"/>
    <col min="2" max="2" width="19.85546875" bestFit="1" customWidth="1"/>
    <col min="3" max="3" width="18.5703125" customWidth="1"/>
    <col min="4" max="4" width="37.7109375" customWidth="1"/>
    <col min="5" max="5" width="14" customWidth="1"/>
    <col min="6" max="6" width="11.28515625" customWidth="1"/>
    <col min="7" max="7" width="6.42578125" customWidth="1"/>
    <col min="8" max="8" width="11.85546875" customWidth="1"/>
    <col min="9" max="9" width="10.7109375" customWidth="1"/>
  </cols>
  <sheetData>
    <row r="1" spans="1:9" x14ac:dyDescent="0.25">
      <c r="A1" s="34" t="s">
        <v>0</v>
      </c>
      <c r="B1" s="55" t="s">
        <v>1</v>
      </c>
      <c r="C1" s="22" t="s">
        <v>7</v>
      </c>
      <c r="D1" s="55" t="s">
        <v>2</v>
      </c>
      <c r="E1" s="22" t="s">
        <v>3</v>
      </c>
      <c r="F1" s="22" t="s">
        <v>4</v>
      </c>
      <c r="G1" s="22" t="s">
        <v>11</v>
      </c>
      <c r="H1" s="22" t="s">
        <v>12</v>
      </c>
      <c r="I1" s="56" t="s">
        <v>5</v>
      </c>
    </row>
    <row r="2" spans="1:9" x14ac:dyDescent="0.25">
      <c r="A2" s="46">
        <v>1</v>
      </c>
      <c r="B2" s="57" t="s">
        <v>124</v>
      </c>
      <c r="C2" s="47"/>
      <c r="D2" s="57" t="s">
        <v>125</v>
      </c>
      <c r="E2" s="60" t="s">
        <v>126</v>
      </c>
      <c r="F2" s="54">
        <v>36.99</v>
      </c>
      <c r="G2" s="58">
        <v>1</v>
      </c>
      <c r="H2" s="54">
        <f>G2*F2</f>
        <v>36.99</v>
      </c>
      <c r="I2" s="49"/>
    </row>
    <row r="3" spans="1:9" x14ac:dyDescent="0.25">
      <c r="A3" s="26">
        <v>2</v>
      </c>
      <c r="B3" s="27" t="s">
        <v>16</v>
      </c>
      <c r="C3" s="11" t="s">
        <v>17</v>
      </c>
      <c r="D3" s="27" t="s">
        <v>18</v>
      </c>
      <c r="E3" s="12" t="s">
        <v>40</v>
      </c>
      <c r="F3" s="43">
        <v>1.04</v>
      </c>
      <c r="G3" s="11">
        <v>1</v>
      </c>
      <c r="H3" s="61">
        <f t="shared" ref="H3:H4" si="0">G3*F3</f>
        <v>1.04</v>
      </c>
      <c r="I3" s="15"/>
    </row>
    <row r="4" spans="1:9" x14ac:dyDescent="0.25">
      <c r="A4" s="30">
        <v>3</v>
      </c>
      <c r="B4" s="31" t="s">
        <v>146</v>
      </c>
      <c r="C4" s="17" t="s">
        <v>147</v>
      </c>
      <c r="D4" s="31" t="s">
        <v>148</v>
      </c>
      <c r="E4" s="18" t="s">
        <v>40</v>
      </c>
      <c r="F4" s="44">
        <v>1.1200000000000001</v>
      </c>
      <c r="G4" s="17">
        <v>1</v>
      </c>
      <c r="H4" s="59">
        <f t="shared" si="0"/>
        <v>1.1200000000000001</v>
      </c>
      <c r="I4" s="21"/>
    </row>
    <row r="5" spans="1:9" x14ac:dyDescent="0.25">
      <c r="A5" s="62"/>
      <c r="B5" s="16"/>
      <c r="C5" s="16"/>
      <c r="D5" s="16"/>
      <c r="E5" s="16"/>
      <c r="F5" s="16"/>
      <c r="G5" s="16"/>
      <c r="H5" s="67">
        <f>SUM(H2:H4)</f>
        <v>39.15</v>
      </c>
      <c r="I5" s="21"/>
    </row>
  </sheetData>
  <hyperlinks>
    <hyperlink ref="E4" r:id="rId1"/>
    <hyperlink ref="E2" r:id="rId2"/>
    <hyperlink ref="E3" r:id="rId3"/>
  </hyperlinks>
  <pageMargins left="0.7" right="0.7" top="0.75" bottom="0.75" header="0.3" footer="0.3"/>
  <drawing r:id="rId4"/>
  <legacyDrawing r:id="rId5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C23" sqref="C23"/>
    </sheetView>
  </sheetViews>
  <sheetFormatPr defaultRowHeight="15" x14ac:dyDescent="0.25"/>
  <cols>
    <col min="1" max="1" width="5.140625" bestFit="1" customWidth="1"/>
    <col min="2" max="2" width="22" customWidth="1"/>
    <col min="3" max="3" width="25.140625" customWidth="1"/>
    <col min="4" max="4" width="52.28515625" bestFit="1" customWidth="1"/>
    <col min="5" max="5" width="12.85546875" customWidth="1"/>
    <col min="6" max="6" width="11.28515625" customWidth="1"/>
    <col min="8" max="8" width="12.85546875" customWidth="1"/>
    <col min="9" max="9" width="12.28515625" customWidth="1"/>
  </cols>
  <sheetData>
    <row r="1" spans="1:9" x14ac:dyDescent="0.25">
      <c r="A1" s="34" t="s">
        <v>0</v>
      </c>
      <c r="B1" s="22" t="s">
        <v>1</v>
      </c>
      <c r="C1" s="22" t="s">
        <v>7</v>
      </c>
      <c r="D1" s="35" t="s">
        <v>2</v>
      </c>
      <c r="E1" s="22" t="s">
        <v>3</v>
      </c>
      <c r="F1" s="22" t="s">
        <v>4</v>
      </c>
      <c r="G1" s="22" t="s">
        <v>11</v>
      </c>
      <c r="H1" s="22" t="s">
        <v>12</v>
      </c>
      <c r="I1" s="36" t="s">
        <v>5</v>
      </c>
    </row>
    <row r="2" spans="1:9" x14ac:dyDescent="0.25">
      <c r="A2" s="26">
        <v>1</v>
      </c>
      <c r="B2" s="27" t="s">
        <v>105</v>
      </c>
      <c r="C2" s="11" t="s">
        <v>58</v>
      </c>
      <c r="D2" s="27" t="s">
        <v>59</v>
      </c>
      <c r="E2" s="12" t="s">
        <v>40</v>
      </c>
      <c r="F2" s="43">
        <v>0.83</v>
      </c>
      <c r="G2" s="11">
        <v>1</v>
      </c>
      <c r="H2" s="43">
        <f>Table9[[#This Row],[Qty]]*Table9[[#This Row],[Unit Cost]]</f>
        <v>0.83</v>
      </c>
      <c r="I2" s="15"/>
    </row>
    <row r="3" spans="1:9" x14ac:dyDescent="0.25">
      <c r="A3" s="26">
        <v>2</v>
      </c>
      <c r="B3" s="27" t="s">
        <v>105</v>
      </c>
      <c r="C3" s="11" t="s">
        <v>60</v>
      </c>
      <c r="D3" s="27" t="s">
        <v>61</v>
      </c>
      <c r="E3" s="12" t="s">
        <v>40</v>
      </c>
      <c r="F3" s="43">
        <v>0.77</v>
      </c>
      <c r="G3" s="11">
        <v>1</v>
      </c>
      <c r="H3" s="43">
        <f>Table9[[#This Row],[Qty]]*Table9[[#This Row],[Unit Cost]]</f>
        <v>0.77</v>
      </c>
      <c r="I3" s="15"/>
    </row>
    <row r="4" spans="1:9" x14ac:dyDescent="0.25">
      <c r="A4" s="26">
        <v>3</v>
      </c>
      <c r="B4" s="27" t="s">
        <v>19</v>
      </c>
      <c r="C4" s="11" t="s">
        <v>113</v>
      </c>
      <c r="D4" s="27" t="s">
        <v>114</v>
      </c>
      <c r="E4" s="12" t="s">
        <v>40</v>
      </c>
      <c r="F4" s="43">
        <v>0.13</v>
      </c>
      <c r="G4" s="11">
        <v>1</v>
      </c>
      <c r="H4" s="43">
        <f>Table9[[#This Row],[Qty]]*Table9[[#This Row],[Unit Cost]]</f>
        <v>0.13</v>
      </c>
      <c r="I4" s="15" t="s">
        <v>67</v>
      </c>
    </row>
    <row r="5" spans="1:9" x14ac:dyDescent="0.25">
      <c r="A5" s="26">
        <v>4</v>
      </c>
      <c r="B5" s="27" t="s">
        <v>19</v>
      </c>
      <c r="C5" s="11" t="s">
        <v>115</v>
      </c>
      <c r="D5" s="27" t="s">
        <v>116</v>
      </c>
      <c r="E5" s="12" t="s">
        <v>40</v>
      </c>
      <c r="F5" s="43">
        <v>0.25</v>
      </c>
      <c r="G5" s="11">
        <v>1</v>
      </c>
      <c r="H5" s="43">
        <f>Table9[[#This Row],[Qty]]*Table9[[#This Row],[Unit Cost]]</f>
        <v>0.25</v>
      </c>
      <c r="I5" s="15" t="s">
        <v>68</v>
      </c>
    </row>
    <row r="6" spans="1:9" x14ac:dyDescent="0.25">
      <c r="A6" s="26">
        <v>5</v>
      </c>
      <c r="B6" s="27" t="s">
        <v>19</v>
      </c>
      <c r="C6" s="11" t="s">
        <v>117</v>
      </c>
      <c r="D6" s="27" t="s">
        <v>118</v>
      </c>
      <c r="E6" s="12" t="s">
        <v>10</v>
      </c>
      <c r="F6" s="43">
        <v>0.11</v>
      </c>
      <c r="G6" s="11">
        <v>1</v>
      </c>
      <c r="H6" s="43">
        <f>Table9[[#This Row],[Qty]]*Table9[[#This Row],[Unit Cost]]</f>
        <v>0.11</v>
      </c>
      <c r="I6" s="15"/>
    </row>
    <row r="7" spans="1:9" x14ac:dyDescent="0.25">
      <c r="A7" s="26">
        <v>6</v>
      </c>
      <c r="B7" s="27" t="s">
        <v>28</v>
      </c>
      <c r="C7" s="11" t="s">
        <v>71</v>
      </c>
      <c r="D7" s="27" t="s">
        <v>72</v>
      </c>
      <c r="E7" s="12" t="s">
        <v>40</v>
      </c>
      <c r="F7" s="43">
        <v>0.1</v>
      </c>
      <c r="G7" s="11">
        <v>1</v>
      </c>
      <c r="H7" s="43">
        <f>Table9[[#This Row],[Qty]]*Table9[[#This Row],[Unit Cost]]</f>
        <v>0.1</v>
      </c>
      <c r="I7" s="15" t="s">
        <v>69</v>
      </c>
    </row>
    <row r="8" spans="1:9" x14ac:dyDescent="0.25">
      <c r="A8" s="26">
        <v>7</v>
      </c>
      <c r="B8" s="31" t="s">
        <v>28</v>
      </c>
      <c r="C8" s="17" t="s">
        <v>119</v>
      </c>
      <c r="D8" s="31" t="s">
        <v>120</v>
      </c>
      <c r="E8" s="18" t="s">
        <v>40</v>
      </c>
      <c r="F8" s="44">
        <v>0.1</v>
      </c>
      <c r="G8" s="17">
        <v>1</v>
      </c>
      <c r="H8" s="43">
        <f>Table9[[#This Row],[Qty]]*Table9[[#This Row],[Unit Cost]]</f>
        <v>0.1</v>
      </c>
      <c r="I8" s="21" t="s">
        <v>70</v>
      </c>
    </row>
    <row r="9" spans="1:9" x14ac:dyDescent="0.25">
      <c r="A9" s="30"/>
      <c r="B9" s="31"/>
      <c r="C9" s="17"/>
      <c r="D9" s="31"/>
      <c r="E9" s="18"/>
      <c r="F9" s="44"/>
      <c r="G9" s="17"/>
      <c r="H9" s="44">
        <f>SUM(H2:H8)</f>
        <v>2.29</v>
      </c>
      <c r="I9" s="21"/>
    </row>
  </sheetData>
  <hyperlinks>
    <hyperlink ref="E2" r:id="rId1"/>
    <hyperlink ref="E3" r:id="rId2"/>
    <hyperlink ref="E7" r:id="rId3"/>
    <hyperlink ref="E4" r:id="rId4"/>
    <hyperlink ref="E5" r:id="rId5"/>
    <hyperlink ref="E6" r:id="rId6"/>
    <hyperlink ref="E8" r:id="rId7"/>
  </hyperlinks>
  <pageMargins left="0.7" right="0.7" top="0.75" bottom="0.75" header="0.3" footer="0.3"/>
  <pageSetup orientation="portrait" horizontalDpi="300" verticalDpi="300" r:id="rId8"/>
  <tableParts count="1"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4"/>
  <sheetViews>
    <sheetView workbookViewId="0">
      <selection activeCell="C52" sqref="C52"/>
    </sheetView>
  </sheetViews>
  <sheetFormatPr defaultRowHeight="15" x14ac:dyDescent="0.25"/>
  <cols>
    <col min="1" max="1" width="8.85546875" customWidth="1"/>
    <col min="2" max="2" width="22" customWidth="1"/>
    <col min="3" max="3" width="28.85546875" customWidth="1"/>
    <col min="4" max="4" width="60.7109375" bestFit="1" customWidth="1"/>
    <col min="5" max="5" width="16" customWidth="1"/>
    <col min="6" max="6" width="11.28515625" customWidth="1"/>
    <col min="8" max="8" width="11.85546875" customWidth="1"/>
    <col min="9" max="9" width="13.28515625" customWidth="1"/>
  </cols>
  <sheetData>
    <row r="1" spans="1:9" x14ac:dyDescent="0.25">
      <c r="A1" s="34" t="s">
        <v>0</v>
      </c>
      <c r="B1" s="22" t="s">
        <v>1</v>
      </c>
      <c r="C1" s="22" t="s">
        <v>7</v>
      </c>
      <c r="D1" s="35" t="s">
        <v>2</v>
      </c>
      <c r="E1" s="22" t="s">
        <v>3</v>
      </c>
      <c r="F1" s="22" t="s">
        <v>4</v>
      </c>
      <c r="G1" s="22" t="s">
        <v>11</v>
      </c>
      <c r="H1" s="22" t="s">
        <v>12</v>
      </c>
      <c r="I1" s="36" t="s">
        <v>5</v>
      </c>
    </row>
    <row r="2" spans="1:9" x14ac:dyDescent="0.25">
      <c r="A2" s="26">
        <v>1</v>
      </c>
      <c r="B2" s="11" t="s">
        <v>35</v>
      </c>
      <c r="C2" s="11" t="s">
        <v>73</v>
      </c>
      <c r="D2" s="27" t="s">
        <v>106</v>
      </c>
      <c r="E2" s="12" t="s">
        <v>40</v>
      </c>
      <c r="F2" s="43">
        <v>2.08</v>
      </c>
      <c r="G2" s="11">
        <v>1</v>
      </c>
      <c r="H2" s="43">
        <f>Table10[[#This Row],[Qty]]*Table10[[#This Row],[Unit Cost]]</f>
        <v>2.08</v>
      </c>
      <c r="I2" s="15"/>
    </row>
    <row r="3" spans="1:9" x14ac:dyDescent="0.25">
      <c r="A3" s="26">
        <v>2</v>
      </c>
      <c r="B3" s="11" t="s">
        <v>39</v>
      </c>
      <c r="C3" s="11" t="s">
        <v>41</v>
      </c>
      <c r="D3" s="27" t="s">
        <v>109</v>
      </c>
      <c r="E3" s="12" t="s">
        <v>42</v>
      </c>
      <c r="F3" s="43">
        <v>0.6</v>
      </c>
      <c r="G3" s="11">
        <v>2</v>
      </c>
      <c r="H3" s="43">
        <f>Table10[[#This Row],[Qty]]*Table10[[#This Row],[Unit Cost]]</f>
        <v>1.2</v>
      </c>
      <c r="I3" s="15"/>
    </row>
    <row r="4" spans="1:9" x14ac:dyDescent="0.25">
      <c r="A4" s="26">
        <v>3</v>
      </c>
      <c r="B4" s="11" t="s">
        <v>110</v>
      </c>
      <c r="C4" s="11" t="s">
        <v>111</v>
      </c>
      <c r="D4" s="27" t="s">
        <v>112</v>
      </c>
      <c r="E4" s="12" t="s">
        <v>10</v>
      </c>
      <c r="F4" s="43">
        <v>3.95</v>
      </c>
      <c r="G4" s="11">
        <v>2</v>
      </c>
      <c r="H4" s="43">
        <f>Table10[[#This Row],[Qty]]*Table10[[#This Row],[Unit Cost]]</f>
        <v>7.9</v>
      </c>
      <c r="I4" s="15"/>
    </row>
    <row r="5" spans="1:9" x14ac:dyDescent="0.25">
      <c r="A5" s="26">
        <v>4</v>
      </c>
      <c r="B5" s="11" t="s">
        <v>108</v>
      </c>
      <c r="C5" s="11" t="s">
        <v>74</v>
      </c>
      <c r="D5" s="27" t="s">
        <v>77</v>
      </c>
      <c r="E5" s="12" t="s">
        <v>40</v>
      </c>
      <c r="F5" s="43">
        <v>0.98</v>
      </c>
      <c r="G5" s="11">
        <v>1</v>
      </c>
      <c r="H5" s="43">
        <f>Table10[[#This Row],[Qty]]*Table10[[#This Row],[Unit Cost]]</f>
        <v>0.98</v>
      </c>
      <c r="I5" s="15"/>
    </row>
    <row r="6" spans="1:9" x14ac:dyDescent="0.25">
      <c r="A6" s="26">
        <v>5</v>
      </c>
      <c r="B6" s="11" t="s">
        <v>28</v>
      </c>
      <c r="C6" s="11" t="s">
        <v>75</v>
      </c>
      <c r="D6" s="27" t="s">
        <v>76</v>
      </c>
      <c r="E6" s="12" t="s">
        <v>40</v>
      </c>
      <c r="F6" s="43">
        <v>0.1</v>
      </c>
      <c r="G6" s="11">
        <v>1</v>
      </c>
      <c r="H6" s="43">
        <f>Table10[[#This Row],[Qty]]*Table10[[#This Row],[Unit Cost]]</f>
        <v>0.1</v>
      </c>
      <c r="I6" s="15"/>
    </row>
    <row r="7" spans="1:9" x14ac:dyDescent="0.25">
      <c r="A7" s="26">
        <v>6</v>
      </c>
      <c r="B7" s="11" t="s">
        <v>107</v>
      </c>
      <c r="C7" s="11" t="s">
        <v>78</v>
      </c>
      <c r="D7" s="27" t="s">
        <v>79</v>
      </c>
      <c r="E7" s="12" t="s">
        <v>40</v>
      </c>
      <c r="F7" s="43">
        <v>0.53</v>
      </c>
      <c r="G7" s="11">
        <v>1</v>
      </c>
      <c r="H7" s="43">
        <f>Table10[[#This Row],[Qty]]*Table10[[#This Row],[Unit Cost]]</f>
        <v>0.53</v>
      </c>
      <c r="I7" s="15"/>
    </row>
    <row r="8" spans="1:9" x14ac:dyDescent="0.25">
      <c r="A8" s="26">
        <v>7</v>
      </c>
      <c r="B8" s="11" t="s">
        <v>19</v>
      </c>
      <c r="C8" s="11" t="s">
        <v>43</v>
      </c>
      <c r="D8" s="27" t="s">
        <v>44</v>
      </c>
      <c r="E8" s="12" t="s">
        <v>10</v>
      </c>
      <c r="F8" s="43">
        <v>0.41</v>
      </c>
      <c r="G8" s="11">
        <v>1</v>
      </c>
      <c r="H8" s="43">
        <f>Table10[[#This Row],[Qty]]*Table10[[#This Row],[Unit Cost]]</f>
        <v>0.41</v>
      </c>
      <c r="I8" s="15"/>
    </row>
    <row r="9" spans="1:9" x14ac:dyDescent="0.25">
      <c r="A9" s="26">
        <v>8</v>
      </c>
      <c r="B9" s="11" t="s">
        <v>19</v>
      </c>
      <c r="C9" s="11" t="s">
        <v>80</v>
      </c>
      <c r="D9" s="27" t="s">
        <v>81</v>
      </c>
      <c r="E9" s="12" t="s">
        <v>40</v>
      </c>
      <c r="F9" s="43">
        <v>0.32</v>
      </c>
      <c r="G9" s="11">
        <v>2</v>
      </c>
      <c r="H9" s="43">
        <f>Table10[[#This Row],[Qty]]*Table10[[#This Row],[Unit Cost]]</f>
        <v>0.64</v>
      </c>
      <c r="I9" s="15"/>
    </row>
    <row r="10" spans="1:9" x14ac:dyDescent="0.25">
      <c r="A10" s="30">
        <v>9</v>
      </c>
      <c r="B10" s="17" t="s">
        <v>19</v>
      </c>
      <c r="C10" s="17" t="s">
        <v>82</v>
      </c>
      <c r="D10" s="31" t="s">
        <v>83</v>
      </c>
      <c r="E10" s="18" t="s">
        <v>40</v>
      </c>
      <c r="F10" s="43">
        <v>0.1</v>
      </c>
      <c r="G10" s="17">
        <v>3</v>
      </c>
      <c r="H10" s="43">
        <f>Table10[[#This Row],[Qty]]*Table10[[#This Row],[Unit Cost]]</f>
        <v>0.30000000000000004</v>
      </c>
      <c r="I10" s="21"/>
    </row>
    <row r="11" spans="1:9" x14ac:dyDescent="0.25">
      <c r="A11" s="30"/>
      <c r="B11" s="17"/>
      <c r="C11" s="17"/>
      <c r="D11" s="31"/>
      <c r="E11" s="17"/>
      <c r="F11" s="16"/>
      <c r="G11" s="17"/>
      <c r="H11" s="66">
        <f>SUM(H2:H10)</f>
        <v>14.14</v>
      </c>
      <c r="I11" s="21"/>
    </row>
    <row r="14" spans="1:9" x14ac:dyDescent="0.25">
      <c r="C14" s="63"/>
    </row>
  </sheetData>
  <hyperlinks>
    <hyperlink ref="E2" r:id="rId1"/>
    <hyperlink ref="E5" r:id="rId2"/>
    <hyperlink ref="E6" r:id="rId3"/>
    <hyperlink ref="E7" r:id="rId4"/>
    <hyperlink ref="E9" r:id="rId5"/>
    <hyperlink ref="E10" r:id="rId6"/>
    <hyperlink ref="E4" r:id="rId7"/>
    <hyperlink ref="E3" r:id="rId8"/>
  </hyperlinks>
  <pageMargins left="0.7" right="0.7" top="0.75" bottom="0.75" header="0.3" footer="0.3"/>
  <pageSetup orientation="portrait" horizontalDpi="300" verticalDpi="300" r:id="rId9"/>
  <drawing r:id="rId10"/>
  <legacyDrawing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CameraInterface</vt:lpstr>
      <vt:lpstr>350W_MotorControl</vt:lpstr>
      <vt:lpstr>ChargingSection</vt:lpstr>
      <vt:lpstr>SensorsInterface</vt:lpstr>
      <vt:lpstr>Servo_MotorControl</vt:lpstr>
      <vt:lpstr>PowerSection</vt:lpstr>
      <vt:lpstr>MCU-WirelessSection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Faizan Ur Rahman</cp:lastModifiedBy>
  <dcterms:created xsi:type="dcterms:W3CDTF">2020-07-11T16:13:52Z</dcterms:created>
  <dcterms:modified xsi:type="dcterms:W3CDTF">2020-07-16T11:25:35Z</dcterms:modified>
</cp:coreProperties>
</file>