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ngineering\Digital_Rep\"/>
    </mc:Choice>
  </mc:AlternateContent>
  <xr:revisionPtr revIDLastSave="0" documentId="13_ncr:1_{C15FA980-E1D6-4E14-B7A3-A1D86325EAED}" xr6:coauthVersionLast="45" xr6:coauthVersionMax="45" xr10:uidLastSave="{00000000-0000-0000-0000-000000000000}"/>
  <bookViews>
    <workbookView xWindow="-109" yWindow="-109" windowWidth="26301" windowHeight="14305" tabRatio="764" xr2:uid="{E39B9E33-797C-4AE8-9002-D049A4909206}"/>
  </bookViews>
  <sheets>
    <sheet name="PROGRAM" sheetId="1" r:id="rId1"/>
    <sheet name="AMRAP" sheetId="9" r:id="rId2"/>
    <sheet name="EMOM" sheetId="11" r:id="rId3"/>
    <sheet name="Chipper" sheetId="10" r:id="rId4"/>
    <sheet name="Ladder" sheetId="12" r:id="rId5"/>
    <sheet name="Tabata" sheetId="13" r:id="rId6"/>
    <sheet name="The Girls" sheetId="14" r:id="rId7"/>
    <sheet name="The Heroes" sheetId="15" r:id="rId8"/>
    <sheet name="Open" sheetId="4" r:id="rId9"/>
    <sheet name="WOD Reference" sheetId="2" r:id="rId10"/>
    <sheet name="Program Detailing" sheetId="6" r:id="rId11"/>
    <sheet name="FGB" sheetId="7" r:id="rId12"/>
    <sheet name="Filthy Fifty " sheetId="8" r:id="rId13"/>
  </sheets>
  <definedNames>
    <definedName name="_xlnm._FilterDatabase" localSheetId="3" hidden="1">Chipper!$B$1:$B$3</definedName>
    <definedName name="_xlnm._FilterDatabase" localSheetId="4" hidden="1">Ladder!$C$1:$C$3</definedName>
    <definedName name="_xlnm._FilterDatabase" localSheetId="5" hidden="1">Tabata!$C$1:$C$3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294" i="15" l="1"/>
  <c r="L292" i="15"/>
  <c r="L293" i="15"/>
  <c r="H37" i="13"/>
  <c r="H37" i="12"/>
  <c r="G37" i="10"/>
  <c r="G37" i="11"/>
  <c r="G87" i="9" l="1"/>
  <c r="G88" i="9" s="1"/>
  <c r="G89" i="9" s="1"/>
  <c r="G90" i="9" s="1"/>
  <c r="G91" i="9" s="1"/>
  <c r="G92" i="9" s="1"/>
  <c r="G93" i="9" s="1"/>
  <c r="G94" i="9" s="1"/>
  <c r="G95" i="9" s="1"/>
  <c r="G96" i="9" s="1"/>
  <c r="G97" i="9" s="1"/>
  <c r="G98" i="9" s="1"/>
  <c r="G99" i="9" s="1"/>
  <c r="G100" i="9" s="1"/>
  <c r="G61" i="9"/>
  <c r="G62" i="9" s="1"/>
  <c r="G63" i="9" s="1"/>
  <c r="G64" i="9" s="1"/>
  <c r="G65" i="9" s="1"/>
  <c r="G66" i="9" s="1"/>
  <c r="G67" i="9" s="1"/>
  <c r="G68" i="9" s="1"/>
  <c r="G69" i="9" s="1"/>
  <c r="G70" i="9" s="1"/>
  <c r="G71" i="9" s="1"/>
  <c r="G72" i="9" s="1"/>
  <c r="G73" i="9" s="1"/>
  <c r="G74" i="9" s="1"/>
  <c r="G75" i="9" s="1"/>
  <c r="G76" i="9" s="1"/>
  <c r="G77" i="9" s="1"/>
  <c r="G78" i="9" s="1"/>
  <c r="G79" i="9" s="1"/>
  <c r="G80" i="9" s="1"/>
  <c r="G81" i="9" s="1"/>
  <c r="G82" i="9" s="1"/>
  <c r="G83" i="9" s="1"/>
  <c r="G84" i="9" s="1"/>
  <c r="G37" i="9"/>
  <c r="G38" i="9" s="1"/>
  <c r="G39" i="9" s="1"/>
  <c r="G40" i="9" s="1"/>
  <c r="G41" i="9" s="1"/>
  <c r="G42" i="9" s="1"/>
  <c r="G43" i="9" s="1"/>
  <c r="G44" i="9" s="1"/>
  <c r="G45" i="9" s="1"/>
  <c r="G46" i="9" s="1"/>
  <c r="G47" i="9" s="1"/>
  <c r="G48" i="9" s="1"/>
  <c r="G49" i="9" s="1"/>
  <c r="G50" i="9" s="1"/>
  <c r="G51" i="9" s="1"/>
  <c r="G52" i="9" s="1"/>
  <c r="G53" i="9" s="1"/>
  <c r="G54" i="9" s="1"/>
  <c r="G55" i="9" s="1"/>
  <c r="G56" i="9" s="1"/>
  <c r="G57" i="9" s="1"/>
  <c r="F5" i="6" l="1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RoverConcepts</author>
  </authors>
  <commentList>
    <comment ref="B51" authorId="0" shapeId="0" xr:uid="{15905361-ECFE-44B2-AD4A-E9227A085BF7}">
      <text>
        <r>
          <rPr>
            <b/>
            <sz val="9"/>
            <color indexed="81"/>
            <rFont val="Tahoma"/>
            <family val="2"/>
          </rPr>
          <t>RoverConcepts:</t>
        </r>
        <r>
          <rPr>
            <sz val="9"/>
            <color indexed="81"/>
            <rFont val="Tahoma"/>
            <family val="2"/>
          </rPr>
          <t xml:space="preserve">
For As Long As Possible
From 0:00-3:00, 2 rounds of:
10 Overhead Squats (95/65 lb)
10 Chest-to-Bar Pull-Ups
From 3:00-6:00, 2 rounds of:
12 Overhead Squats (95/65 lb)
12 Chest-to-Bar Pull-Ups
From 6:00-9:00, 2 rounds of:
14 Overhead Squats (95/65 lb)
14 Chest-to-Bar Pull-Ups
Follow the pattern until you fail to complete both rounds.</t>
        </r>
      </text>
    </comment>
  </commentList>
</comments>
</file>

<file path=xl/sharedStrings.xml><?xml version="1.0" encoding="utf-8"?>
<sst xmlns="http://schemas.openxmlformats.org/spreadsheetml/2006/main" count="2881" uniqueCount="1335">
  <si>
    <t>Crossfit WOD's</t>
  </si>
  <si>
    <t>Program List</t>
  </si>
  <si>
    <t>AMRAP</t>
  </si>
  <si>
    <t>EMOM</t>
  </si>
  <si>
    <t>Program Detail</t>
  </si>
  <si>
    <t>Criteria 1</t>
  </si>
  <si>
    <t>Criteria 2</t>
  </si>
  <si>
    <t>Interval</t>
  </si>
  <si>
    <t>Chipper</t>
  </si>
  <si>
    <t>(-)1  - (10)</t>
  </si>
  <si>
    <t>Tabata</t>
  </si>
  <si>
    <t>Singlet</t>
  </si>
  <si>
    <t>Time Cap</t>
  </si>
  <si>
    <t>Death By</t>
  </si>
  <si>
    <t>Rounds for Time</t>
  </si>
  <si>
    <t>1 - 100</t>
  </si>
  <si>
    <t>The Girls</t>
  </si>
  <si>
    <t>The Heroes</t>
  </si>
  <si>
    <t>Angie</t>
  </si>
  <si>
    <t>For time</t>
  </si>
  <si>
    <t>Badger</t>
  </si>
  <si>
    <t>3 rounds for time</t>
  </si>
  <si>
    <t>30 Pull-ups</t>
  </si>
  <si>
    <t>Run 800 meters</t>
  </si>
  <si>
    <t>Daniel</t>
  </si>
  <si>
    <t>Annie</t>
  </si>
  <si>
    <t>Double-unders</t>
  </si>
  <si>
    <t>Sit-ups</t>
  </si>
  <si>
    <t>Barbara</t>
  </si>
  <si>
    <t>Chelsea</t>
  </si>
  <si>
    <t>Jason</t>
  </si>
  <si>
    <t>Cindy</t>
  </si>
  <si>
    <t>Diane</t>
  </si>
  <si>
    <t>Handstand push-ups</t>
  </si>
  <si>
    <t>Elizabeth</t>
  </si>
  <si>
    <t>Josh</t>
  </si>
  <si>
    <t>Ring Dips</t>
  </si>
  <si>
    <t>Eva</t>
  </si>
  <si>
    <t>Fran</t>
  </si>
  <si>
    <t>Pull-ups</t>
  </si>
  <si>
    <t>Joshie</t>
  </si>
  <si>
    <t>Grace</t>
  </si>
  <si>
    <t>Helen</t>
  </si>
  <si>
    <t>JT</t>
  </si>
  <si>
    <t>Isabel</t>
  </si>
  <si>
    <t>Ring dips</t>
  </si>
  <si>
    <t>Jackie</t>
  </si>
  <si>
    <t>1000 meter row</t>
  </si>
  <si>
    <t>Push-ups</t>
  </si>
  <si>
    <t>50 Thrusters @ 45 lbs</t>
  </si>
  <si>
    <t>Michael</t>
  </si>
  <si>
    <t>50 Back Extensions</t>
  </si>
  <si>
    <t>Karen</t>
  </si>
  <si>
    <t>Wall-ball 150 shots</t>
  </si>
  <si>
    <t>Kelly</t>
  </si>
  <si>
    <t>Run 400 meters</t>
  </si>
  <si>
    <t>Murph</t>
  </si>
  <si>
    <t>30 box jump, 24 inch box</t>
  </si>
  <si>
    <t>30 Wall ball shots, 20 pound ball</t>
  </si>
  <si>
    <t>Linda</t>
  </si>
  <si>
    <t>Deadlift 1 1/2 BW</t>
  </si>
  <si>
    <t>Bench BW</t>
  </si>
  <si>
    <t>Clean 3/4 BW</t>
  </si>
  <si>
    <t>Nate</t>
  </si>
  <si>
    <t>Lynne</t>
  </si>
  <si>
    <t>Bodyweight bench press</t>
  </si>
  <si>
    <t>Pullups</t>
  </si>
  <si>
    <t>Mary</t>
  </si>
  <si>
    <t>Randy</t>
  </si>
  <si>
    <t>Tommy V</t>
  </si>
  <si>
    <t>Nancy</t>
  </si>
  <si>
    <t>Nicole</t>
  </si>
  <si>
    <t>Others</t>
  </si>
  <si>
    <t>CrossFit Total</t>
  </si>
  <si>
    <t>Back Squat</t>
  </si>
  <si>
    <t>You get three attempts at each lift</t>
  </si>
  <si>
    <t>Shoulder Press</t>
  </si>
  <si>
    <t>You cannot remove weight from the bar</t>
  </si>
  <si>
    <t>Dead Lift</t>
  </si>
  <si>
    <t>Fight Gone Bad</t>
  </si>
  <si>
    <t>Wall ball shots 10' target @ 20lbs</t>
  </si>
  <si>
    <t>3 rounds for time, 1 min rest allowed between rounds</t>
  </si>
  <si>
    <t>Sumo High Pull Dead Lift @ 75 lbs</t>
  </si>
  <si>
    <t xml:space="preserve">One point is given for each rep, except on the rower where each </t>
  </si>
  <si>
    <t>Box jump @ 20" box</t>
  </si>
  <si>
    <t>calorie is one point.</t>
  </si>
  <si>
    <t>Push Press @ 75 lbs</t>
  </si>
  <si>
    <t>Row</t>
  </si>
  <si>
    <t>Filthy 50</t>
  </si>
  <si>
    <t>50 Burpees</t>
  </si>
  <si>
    <t>50 Double Unders</t>
  </si>
  <si>
    <t>Nasty Girls</t>
  </si>
  <si>
    <t>Activities</t>
  </si>
  <si>
    <t>Reps</t>
  </si>
  <si>
    <t>Ladder</t>
  </si>
  <si>
    <t>Custom (Rx)</t>
  </si>
  <si>
    <t>Barbell bent over row</t>
  </si>
  <si>
    <t>Clean &amp; Jerk Cluster</t>
  </si>
  <si>
    <t>Deadlift</t>
  </si>
  <si>
    <t>Dumbbell Clean &amp; Jerk</t>
  </si>
  <si>
    <t>Dumbbell Deadlift</t>
  </si>
  <si>
    <t>Dumbbell front squat</t>
  </si>
  <si>
    <t>Hang squat clean</t>
  </si>
  <si>
    <t>Dumbbell Jerk</t>
  </si>
  <si>
    <t>Dumbbell power clean</t>
  </si>
  <si>
    <t>Dumbbell Push Press</t>
  </si>
  <si>
    <t>Dumbbell shoulder press</t>
  </si>
  <si>
    <t>Dumbbell Shoulder to overhead</t>
  </si>
  <si>
    <t>Dumbbell Sumo deadlift high pull</t>
  </si>
  <si>
    <t>Dumbbell Thruster</t>
  </si>
  <si>
    <t>Dumbbell Waiter walk</t>
  </si>
  <si>
    <t>Ground to Overhead</t>
  </si>
  <si>
    <t>Hang power snatch</t>
  </si>
  <si>
    <t>One-arm Dumbbell Snatch</t>
  </si>
  <si>
    <t>Overhead squat</t>
  </si>
  <si>
    <t>Overhead walk</t>
  </si>
  <si>
    <t>Overhead walking lunges</t>
  </si>
  <si>
    <t>Shoulder to overhead</t>
  </si>
  <si>
    <t>Sots press</t>
  </si>
  <si>
    <t>Thruster</t>
  </si>
  <si>
    <t>Two-hand dumbbell Bent over row</t>
  </si>
  <si>
    <t>Zercher squat</t>
  </si>
  <si>
    <t>Air Squat</t>
  </si>
  <si>
    <t>Bar Muscle up</t>
  </si>
  <si>
    <t>Broad jump</t>
  </si>
  <si>
    <t>Burpee – Bar muscle-up</t>
  </si>
  <si>
    <t>Burpee – Box jump</t>
  </si>
  <si>
    <t>Burpee – Lateral Jump</t>
  </si>
  <si>
    <t>Burpee – Toes-to-bar</t>
  </si>
  <si>
    <t>Jumping jack</t>
  </si>
  <si>
    <t>Superman</t>
  </si>
  <si>
    <t>Tuck jump</t>
  </si>
  <si>
    <t>Squat Press</t>
  </si>
  <si>
    <t>Bench Press</t>
  </si>
  <si>
    <t>Military Press</t>
  </si>
  <si>
    <t>Push Press</t>
  </si>
  <si>
    <t>Squat Cleans</t>
  </si>
  <si>
    <t>Hang Snatch</t>
  </si>
  <si>
    <t>Squat Snatch</t>
  </si>
  <si>
    <t>Clean and Jerk</t>
  </si>
  <si>
    <t>Kettlebell Clean &amp; Jerk</t>
  </si>
  <si>
    <t>Strict Press</t>
  </si>
  <si>
    <t>Kettlebell Snatch</t>
  </si>
  <si>
    <t>Lunge Walk</t>
  </si>
  <si>
    <t>Rope Jump</t>
  </si>
  <si>
    <t>Handstands</t>
  </si>
  <si>
    <t>Burpees</t>
  </si>
  <si>
    <t>Run</t>
  </si>
  <si>
    <t>Swim</t>
  </si>
  <si>
    <t>Kettlebell Swing (American)</t>
  </si>
  <si>
    <t>Kettlebell Swing (Russian)</t>
  </si>
  <si>
    <t>Goblet squat</t>
  </si>
  <si>
    <t>Burpee – Chest-to-bar Pull-up</t>
  </si>
  <si>
    <t>GHD Wall ball</t>
  </si>
  <si>
    <t>Handstand Walk</t>
  </si>
  <si>
    <t>Rope climb - Legless</t>
  </si>
  <si>
    <t>Sit-up Wall ball</t>
  </si>
  <si>
    <t>Wall Balls</t>
  </si>
  <si>
    <t>Double Unders</t>
  </si>
  <si>
    <t xml:space="preserve">Snatch </t>
  </si>
  <si>
    <t>10 rounds for time of:</t>
  </si>
  <si>
    <t>8 ground-to-overheads, 95 lb.</t>
  </si>
  <si>
    <t>10 bar-facing burpees</t>
  </si>
  <si>
    <t>4 dumbbell thrusters</t>
  </si>
  <si>
    <t>6 toes-to-bars</t>
  </si>
  <si>
    <t>24 double-unders</t>
  </si>
  <si>
    <t>AMRAP 20</t>
  </si>
  <si>
    <t>Open 20.3</t>
  </si>
  <si>
    <t>21 deadlifts, 225 lb.</t>
  </si>
  <si>
    <t>21 handstand push-ups</t>
  </si>
  <si>
    <t>15 deadlifts, 225 lb.</t>
  </si>
  <si>
    <t>15 handstand push-ups</t>
  </si>
  <si>
    <t>9 deadlifts, 225 lb.</t>
  </si>
  <si>
    <t>9 handstand push-ups</t>
  </si>
  <si>
    <t>21 deadlifts, 315 lb.</t>
  </si>
  <si>
    <t>50-ft. handstand walk</t>
  </si>
  <si>
    <t>15 deadlifts, 315 lb.</t>
  </si>
  <si>
    <t>9 deadlifts, 315 lb.</t>
  </si>
  <si>
    <t>Time cap: 9 minutes</t>
  </si>
  <si>
    <t>Open 20.4</t>
  </si>
  <si>
    <t>30 box jumps, 24 in.</t>
  </si>
  <si>
    <t>15 clean and jerks, 95 lb.</t>
  </si>
  <si>
    <t>15 clean and jerks, 135 lb.</t>
  </si>
  <si>
    <t>10 clean and jerks, 185 lb.</t>
  </si>
  <si>
    <t>30 single-leg squats</t>
  </si>
  <si>
    <t>10 clean and jerks, 225 lb.</t>
  </si>
  <si>
    <t>5 clean and jerks, 275 lb.</t>
  </si>
  <si>
    <t>5 clean and jerks, 315 lb.</t>
  </si>
  <si>
    <t>Time cap: 20 minutes</t>
  </si>
  <si>
    <t>Open 20.5</t>
  </si>
  <si>
    <t>40 muscle-ups</t>
  </si>
  <si>
    <t>80-cal. row</t>
  </si>
  <si>
    <t>120 wall-ball shots, 20-lb. ball to 10 ft.</t>
  </si>
  <si>
    <t>Time Cap: 20 Min</t>
  </si>
  <si>
    <t>30 Double Unders</t>
  </si>
  <si>
    <t>15 Power Snatches 75/55</t>
  </si>
  <si>
    <t>AMRAP 10</t>
  </si>
  <si>
    <t>12 HR Push-Ups</t>
  </si>
  <si>
    <t>9 Deadlifts 155/100</t>
  </si>
  <si>
    <t>AMRAP 5</t>
  </si>
  <si>
    <t>AMRAP 15</t>
  </si>
  <si>
    <t>15BoxJumps24/20</t>
  </si>
  <si>
    <t>1 SquatClean 165/110</t>
  </si>
  <si>
    <t>1 Jerk 165/110</t>
  </si>
  <si>
    <t>5 Power Cleans 145/100</t>
  </si>
  <si>
    <t>15 Wallballs</t>
  </si>
  <si>
    <t>10 Toes-To-Bar</t>
  </si>
  <si>
    <t>60 Burpees Over Bar</t>
  </si>
  <si>
    <t>30 Overhead Squats</t>
  </si>
  <si>
    <t>10 Muscle-Ups</t>
  </si>
  <si>
    <t>AMRAP 7</t>
  </si>
  <si>
    <t xml:space="preserve">30 Power Snatches </t>
  </si>
  <si>
    <t xml:space="preserve">Max Rep Power Snatches </t>
  </si>
  <si>
    <t>15 Box Jumps 24/20</t>
  </si>
  <si>
    <t>12 Push Presses 115175</t>
  </si>
  <si>
    <t>9 Toes-to Bar</t>
  </si>
  <si>
    <t>AMRAP 18</t>
  </si>
  <si>
    <t xml:space="preserve">150 Wallballs </t>
  </si>
  <si>
    <t>90 Double Unders</t>
  </si>
  <si>
    <t>30 Muscle-Ups</t>
  </si>
  <si>
    <t>AMRAP 12</t>
  </si>
  <si>
    <t xml:space="preserve">Thrusters </t>
  </si>
  <si>
    <t>Chest-to Bar Pull Ups</t>
  </si>
  <si>
    <t>Ladder 3,6, 9</t>
  </si>
  <si>
    <t>40 Burpees</t>
  </si>
  <si>
    <t xml:space="preserve">30 Snatches </t>
  </si>
  <si>
    <t>30 Burpees</t>
  </si>
  <si>
    <t xml:space="preserve">20 Burpees </t>
  </si>
  <si>
    <t>10 Burpees</t>
  </si>
  <si>
    <t xml:space="preserve">Max Rep Snatches </t>
  </si>
  <si>
    <t>AMRAP 17</t>
  </si>
  <si>
    <t>5 Shoulder to Overheads</t>
  </si>
  <si>
    <t xml:space="preserve">10 Deadlifts </t>
  </si>
  <si>
    <t>15 Box Jumps</t>
  </si>
  <si>
    <t>Ladder ???</t>
  </si>
  <si>
    <t>Clean &amp; Jerk</t>
  </si>
  <si>
    <t>Toes-to-Bar</t>
  </si>
  <si>
    <t>AMRAP 4</t>
  </si>
  <si>
    <t xml:space="preserve">15 Thrusters </t>
  </si>
  <si>
    <t>15 Chest-to-Bar Pull-Ups</t>
  </si>
  <si>
    <t>15 Power Snatches 75155</t>
  </si>
  <si>
    <t>AMRAP 3</t>
  </si>
  <si>
    <t xml:space="preserve">15 Box Jumps </t>
  </si>
  <si>
    <t xml:space="preserve">15 Deadlifts </t>
  </si>
  <si>
    <t>15 BoxJumps</t>
  </si>
  <si>
    <t xml:space="preserve">20 Dead lifts </t>
  </si>
  <si>
    <t xml:space="preserve">25 Dead lifts </t>
  </si>
  <si>
    <t xml:space="preserve">30 Dead lifts </t>
  </si>
  <si>
    <t xml:space="preserve">35 Dead lifts </t>
  </si>
  <si>
    <t>AMRAP 8</t>
  </si>
  <si>
    <t xml:space="preserve">Overhead Squats </t>
  </si>
  <si>
    <t>2 Rounds</t>
  </si>
  <si>
    <t>60Cal. Row</t>
  </si>
  <si>
    <t>50 Toes-to,.Bar</t>
  </si>
  <si>
    <t>40 Wallballs 2CV14</t>
  </si>
  <si>
    <t>30 Cleans 135195</t>
  </si>
  <si>
    <t>20 Muscle-Ups</t>
  </si>
  <si>
    <t>AMRAP 14</t>
  </si>
  <si>
    <t>Thursters</t>
  </si>
  <si>
    <t>For Time</t>
  </si>
  <si>
    <t>9min AMRAP</t>
  </si>
  <si>
    <t>6min running clock</t>
  </si>
  <si>
    <t>15 Toes-to-Bar</t>
  </si>
  <si>
    <t xml:space="preserve">10 Dead lifts </t>
  </si>
  <si>
    <t>5 Snatches</t>
  </si>
  <si>
    <t>1 Rep Max Clean &amp; Jerk</t>
  </si>
  <si>
    <t>Overhead Squats</t>
  </si>
  <si>
    <t>Chest-to Bar Pull-Ups</t>
  </si>
  <si>
    <t>7 Muscle-Ups</t>
  </si>
  <si>
    <t>50 Wallballs</t>
  </si>
  <si>
    <t>100 Double Unders</t>
  </si>
  <si>
    <t>Ladder: 21-18-15-12-3</t>
  </si>
  <si>
    <t>3 Handstand Push-Ups</t>
  </si>
  <si>
    <t xml:space="preserve">3 Cleans </t>
  </si>
  <si>
    <t>6 Handstand Push-Ups</t>
  </si>
  <si>
    <t>9 Handstand Push-Ups</t>
  </si>
  <si>
    <t>3 Cleans</t>
  </si>
  <si>
    <t>12 Handstand Push-Ups</t>
  </si>
  <si>
    <t xml:space="preserve">6 Cleans </t>
  </si>
  <si>
    <t>15 Handstand Push-Ups</t>
  </si>
  <si>
    <t>18 Handstand Push-Ups</t>
  </si>
  <si>
    <t>6 Cleans</t>
  </si>
  <si>
    <t>21 Handstand Push-Ups</t>
  </si>
  <si>
    <t xml:space="preserve">9 Cleans  </t>
  </si>
  <si>
    <t>Row (Calories)</t>
  </si>
  <si>
    <t>Thrusters</t>
  </si>
  <si>
    <t>27-21-15-9</t>
  </si>
  <si>
    <t xml:space="preserve">25 Overhead Walking Lunge </t>
  </si>
  <si>
    <t>8 Burpees Over Bar</t>
  </si>
  <si>
    <t>25 Overhead Walking Lunge</t>
  </si>
  <si>
    <t>8 Chest-to Bar</t>
  </si>
  <si>
    <t>25 Toes-to Bar</t>
  </si>
  <si>
    <t>Squat Cleans (Chipper)</t>
  </si>
  <si>
    <t>4 Min Timer 1</t>
  </si>
  <si>
    <t>count til 20 on Timer 2</t>
  </si>
  <si>
    <t>3 Bar Muscle-Ups</t>
  </si>
  <si>
    <t xml:space="preserve">1 0 Power Snatches </t>
  </si>
  <si>
    <t>AMRAP 13</t>
  </si>
  <si>
    <t xml:space="preserve">55 Dead lifts </t>
  </si>
  <si>
    <t xml:space="preserve">55 Wallballs </t>
  </si>
  <si>
    <t>55 Calorie Row</t>
  </si>
  <si>
    <t>55 Handstand Push-Ups</t>
  </si>
  <si>
    <t>Ladder - 21.18-15-12-9-6-3</t>
  </si>
  <si>
    <t>10 dumbbell snatches</t>
  </si>
  <si>
    <t>15 burpee box jump-overs</t>
  </si>
  <si>
    <t>20 dumbbell snatches</t>
  </si>
  <si>
    <t>30 dumbbell snatches</t>
  </si>
  <si>
    <t>40 dumbbell snatches</t>
  </si>
  <si>
    <t>50 dumbbell snatches</t>
  </si>
  <si>
    <t>Time Cap 20 Minutes</t>
  </si>
  <si>
    <t>  16 toes-to-bars</t>
  </si>
  <si>
    <t>  8 power cleans</t>
  </si>
  <si>
    <t>Then, 2 rounds of:</t>
  </si>
  <si>
    <t>  50-ft. weighted walking lunge</t>
  </si>
  <si>
    <t>  16 bar muscle-ups</t>
  </si>
  <si>
    <t>Etc., alternating between toes-to-bars and bar muscle-ups every 2 rounds.</t>
  </si>
  <si>
    <t>2 rounds of:</t>
  </si>
  <si>
    <t>3 rounds of:</t>
  </si>
  <si>
    <t>    6 chest-to-bar pull-ups</t>
  </si>
  <si>
    <t>    6 squat snatches, 95 lb.</t>
  </si>
  <si>
    <t>Then, 3 rounds of:</t>
  </si>
  <si>
    <t>    7 chest-to-bar pull-ups</t>
  </si>
  <si>
    <t>    5 squat snatches, 135 lb.</t>
  </si>
  <si>
    <t>*Prior to 12:00, complete 3 rounds of:</t>
  </si>
  <si>
    <t>    8 chest-to-bar pull-ups</t>
  </si>
  <si>
    <t>    4 squat snatches, 185 lb.</t>
  </si>
  <si>
    <t>*Prior to 16:00, complete 3 rounds of:</t>
  </si>
  <si>
    <t>    9 chest-to-bar pull-ups</t>
  </si>
  <si>
    <t>    3 squat snatches, 225 lb.</t>
  </si>
  <si>
    <t>*Prior to 20:00, complete 3 rounds of:</t>
  </si>
  <si>
    <t>    10 chest-to-bar pull-ups</t>
  </si>
  <si>
    <t>    2 squat snatches, 245 lb.</t>
  </si>
  <si>
    <t>Prior to 24:00, complete 3 rounds of:</t>
  </si>
  <si>
    <t>    11 chest-to-bar pull-ups</t>
  </si>
  <si>
    <t>    1 squat snatch 265 lb.</t>
  </si>
  <si>
    <t>55 deadlifts, 225 lb.</t>
  </si>
  <si>
    <t>55 wall-ball shots, 20-lb. ball to 10-ft. target</t>
  </si>
  <si>
    <t>55-calorie row</t>
  </si>
  <si>
    <t>55 handstand push-ups</t>
  </si>
  <si>
    <t>10 RFT</t>
  </si>
  <si>
    <t>9 thrusters, 95 lb.</t>
  </si>
  <si>
    <t>35 double-unders</t>
  </si>
  <si>
    <t>8 toes-to-bars</t>
  </si>
  <si>
    <t>10 dumbbell hang clean and jerks</t>
  </si>
  <si>
    <t>14-cal. row</t>
  </si>
  <si>
    <t>Dumbbell squats</t>
  </si>
  <si>
    <t>Bar-facing burpees</t>
  </si>
  <si>
    <t>Ladder for Time</t>
  </si>
  <si>
    <t>1-2-3-4-5-6-7-8-9-10</t>
  </si>
  <si>
    <t>100 double-unders</t>
  </si>
  <si>
    <t>20 overhead squats</t>
  </si>
  <si>
    <t>12 ring muscle-ups</t>
  </si>
  <si>
    <t>12 bar muscle-ups</t>
  </si>
  <si>
    <t>2RFT</t>
  </si>
  <si>
    <t>Cap 14 Minutes</t>
  </si>
  <si>
    <t>9 Min Time Cap</t>
  </si>
  <si>
    <t>3 thrusters</t>
  </si>
  <si>
    <t>3 chest-to-bar pull-ups</t>
  </si>
  <si>
    <t>6 thrusters</t>
  </si>
  <si>
    <t>6 chest-to-bar pull-ups</t>
  </si>
  <si>
    <t>9 thrusters</t>
  </si>
  <si>
    <t>9 chest-to-bar pull-ups</t>
  </si>
  <si>
    <t>12 thrusters</t>
  </si>
  <si>
    <t>12 chest-to-bar pull-ups</t>
  </si>
  <si>
    <t>15 thrusters</t>
  </si>
  <si>
    <t>15 chest-to-bar pull-ups</t>
  </si>
  <si>
    <t>18 thrusters</t>
  </si>
  <si>
    <t>18 chest-to-bar pull-ups</t>
  </si>
  <si>
    <t>19 wall-ball shots</t>
  </si>
  <si>
    <t>19-cal. row</t>
  </si>
  <si>
    <t>25 toes-to-bars</t>
  </si>
  <si>
    <t>  50 double-unders</t>
  </si>
  <si>
    <t>  15 squat cleans, 135 lb.</t>
  </si>
  <si>
    <t>  25 toes-to-bars</t>
  </si>
  <si>
    <t>  50 double-unders</t>
  </si>
  <si>
    <t>  13 squat cleans, 185 lb.</t>
  </si>
  <si>
    <t>  11 squat cleans, 225 lb</t>
  </si>
  <si>
    <t>  9 squat cleans, 275 lb</t>
  </si>
  <si>
    <t>  7 squat cleans, 315 lb.</t>
  </si>
  <si>
    <t>200-ft. dumbbell overhead lunge</t>
  </si>
  <si>
    <t>50 dumbbell box step-ups</t>
  </si>
  <si>
    <t>50 strict handstand push-ups</t>
  </si>
  <si>
    <t>200-ft. handstand walk</t>
  </si>
  <si>
    <t>Time Cap 10 Minutes</t>
  </si>
  <si>
    <t>10 snatches</t>
  </si>
  <si>
    <t>  12 bar-facing burpees</t>
  </si>
  <si>
    <t>3RFT</t>
  </si>
  <si>
    <t>3 Min Rest</t>
  </si>
  <si>
    <t>10 bar muscle-ups</t>
  </si>
  <si>
    <t>Time Cap 12</t>
  </si>
  <si>
    <t>33-27-21-15-9 reps for time of:</t>
  </si>
  <si>
    <t>95-lb. thrusters</t>
  </si>
  <si>
    <t>Chest-to-bar pull-ups</t>
  </si>
  <si>
    <t>Time Cap 15</t>
  </si>
  <si>
    <t>Complete as many rounds as possible in 20 minutes of:</t>
  </si>
  <si>
    <t>PROGRAM Name</t>
  </si>
  <si>
    <t>Activitity 1</t>
  </si>
  <si>
    <t>Activitity 2</t>
  </si>
  <si>
    <t>Activitity 3</t>
  </si>
  <si>
    <t>Activitity 4</t>
  </si>
  <si>
    <t>Activitity 5</t>
  </si>
  <si>
    <t>Activitity 6</t>
  </si>
  <si>
    <t>Activitity 7</t>
  </si>
  <si>
    <t>Activitity 8</t>
  </si>
  <si>
    <t>Activitity 9</t>
  </si>
  <si>
    <t>Activitity 10</t>
  </si>
  <si>
    <t>Activitity 11</t>
  </si>
  <si>
    <t>Activitity 12</t>
  </si>
  <si>
    <t>Griff</t>
  </si>
  <si>
    <t>Run Backwards, 400 m</t>
  </si>
  <si>
    <t>Run, 800 m</t>
  </si>
  <si>
    <t>Ryan</t>
  </si>
  <si>
    <t>Erin</t>
  </si>
  <si>
    <t>5 rounds for time of:</t>
  </si>
  <si>
    <t>Mr. Joshua</t>
  </si>
  <si>
    <t>Run, 400 m</t>
  </si>
  <si>
    <t>DT</t>
  </si>
  <si>
    <t>Danny</t>
  </si>
  <si>
    <t>Complete as many rounds as possible in 20 mins of:</t>
  </si>
  <si>
    <t>Hansen</t>
  </si>
  <si>
    <t>Tyler</t>
  </si>
  <si>
    <t>Lumberjack 20</t>
  </si>
  <si>
    <t>For time:</t>
  </si>
  <si>
    <t>20 Box Jumps, 24/20 in</t>
  </si>
  <si>
    <t>Stephen</t>
  </si>
  <si>
    <t>GHD Sit-up</t>
  </si>
  <si>
    <t>Back Extension</t>
  </si>
  <si>
    <t>Knees To Elbow</t>
  </si>
  <si>
    <t>Garrett</t>
  </si>
  <si>
    <t>3 rounds for time of:</t>
  </si>
  <si>
    <t>War Frank</t>
  </si>
  <si>
    <t>McGhee</t>
  </si>
  <si>
    <t>Complete as many rounds as possible in 30 mins of:</t>
  </si>
  <si>
    <t>Paul</t>
  </si>
  <si>
    <t>Jerry</t>
  </si>
  <si>
    <t>Run, 1 mi</t>
  </si>
  <si>
    <t>Nutts</t>
  </si>
  <si>
    <t>Arnie</t>
  </si>
  <si>
    <t>The Seven</t>
  </si>
  <si>
    <t>7 rounds for time of:</t>
  </si>
  <si>
    <t>RJ</t>
  </si>
  <si>
    <t>Luce</t>
  </si>
  <si>
    <t>Johnson</t>
  </si>
  <si>
    <t>Roy</t>
  </si>
  <si>
    <t>AdamBrown</t>
  </si>
  <si>
    <t>Coe</t>
  </si>
  <si>
    <t>Severin</t>
  </si>
  <si>
    <t>Helton</t>
  </si>
  <si>
    <t>Jack</t>
  </si>
  <si>
    <t>Forrest</t>
  </si>
  <si>
    <t>Bulger</t>
  </si>
  <si>
    <t>Brenton</t>
  </si>
  <si>
    <t>Bear Crawl, 100 ft</t>
  </si>
  <si>
    <t>Standing Broad Jump, 100 ft</t>
  </si>
  <si>
    <t>Blake</t>
  </si>
  <si>
    <t>4 rounds for time of:</t>
  </si>
  <si>
    <t>Plate Overhead Walking Lunge, 45/25 lbs, 100 ft</t>
  </si>
  <si>
    <t>Collin</t>
  </si>
  <si>
    <t>6 rounds for time of:</t>
  </si>
  <si>
    <t>Sandbag Carry, 50/35 lbs, 400 m</t>
  </si>
  <si>
    <t>Thompson</t>
  </si>
  <si>
    <t>Whitten</t>
  </si>
  <si>
    <t>Bull</t>
  </si>
  <si>
    <t>Rankel</t>
  </si>
  <si>
    <t>Holbrook</t>
  </si>
  <si>
    <t>Ledesma</t>
  </si>
  <si>
    <t>Wittman</t>
  </si>
  <si>
    <t>McCluskey</t>
  </si>
  <si>
    <t>Weaver</t>
  </si>
  <si>
    <t>Abbate</t>
  </si>
  <si>
    <t>Hammer</t>
  </si>
  <si>
    <t>Moore</t>
  </si>
  <si>
    <t>Wilmot</t>
  </si>
  <si>
    <t>Moon</t>
  </si>
  <si>
    <t>Small</t>
  </si>
  <si>
    <t>Morrison</t>
  </si>
  <si>
    <t>Manion</t>
  </si>
  <si>
    <t>Gator</t>
  </si>
  <si>
    <t>8 rounds for time of:</t>
  </si>
  <si>
    <t>Bradley</t>
  </si>
  <si>
    <t>Meadows</t>
  </si>
  <si>
    <t>Santiago</t>
  </si>
  <si>
    <t>Carse</t>
  </si>
  <si>
    <t>21-18-15-12-9-6-3 reps, for time of:</t>
  </si>
  <si>
    <t>Double Under</t>
  </si>
  <si>
    <t>Bradshaw</t>
  </si>
  <si>
    <t>White</t>
  </si>
  <si>
    <t>Santora</t>
  </si>
  <si>
    <t>Three rounds for reps of:</t>
  </si>
  <si>
    <t>Burpees, 1 minute</t>
  </si>
  <si>
    <t>Wood</t>
  </si>
  <si>
    <t>Hidalgo</t>
  </si>
  <si>
    <t>20 Squat Cleans, 135/95 lbs</t>
  </si>
  <si>
    <t>20 Plate Overhead Walking Lunges, 45/35 lbs</t>
  </si>
  <si>
    <t>Ricky</t>
  </si>
  <si>
    <t>Heroes / Girls Tab</t>
  </si>
  <si>
    <t>Deficit Push-up</t>
  </si>
  <si>
    <t>Open Tab</t>
  </si>
  <si>
    <t>3 Rounds For Total Reps in 17 minutes</t>
  </si>
  <si>
    <t>1 minute Wall Ball Shots (20/14 lb)</t>
  </si>
  <si>
    <t>1 minute Sumo Deadlift High-Pulls (75/55 lb)</t>
  </si>
  <si>
    <t>1 minute Box Jumps (20 in)</t>
  </si>
  <si>
    <t>1 minute Push Press (75/55 lb)</t>
  </si>
  <si>
    <t>1 minute Row (calories)</t>
  </si>
  <si>
    <t>1 minute Rest</t>
  </si>
  <si>
    <t>Perform 1 minute of work at each of the 5 stations. Move immediately to the next station after 1 minute. The clock does not reset or stop between exercises. One-minute break is allowed before repeating each round. One point is given for each rep, except on the rower where each calorie is one point.</t>
  </si>
  <si>
    <t>Filthy Fifty Tab</t>
  </si>
  <si>
    <t>50 Box Jumps (24/20 in)</t>
  </si>
  <si>
    <t>50 Jumping Pull-Ups</t>
  </si>
  <si>
    <t>50 Kettlebell Swings (1/.75 pood)</t>
  </si>
  <si>
    <t>50 Walking Lunge Steps</t>
  </si>
  <si>
    <t>50 Knees-to-Elbows</t>
  </si>
  <si>
    <t>50 Push Presses (45/35 lb)</t>
  </si>
  <si>
    <t>50 Wall Ball Shots (20/14 lb)</t>
  </si>
  <si>
    <t>50 Double-Unders</t>
  </si>
  <si>
    <t>Perform all 500 repetitions in the above order. Perform all 50 box jumps, for example, before you move onto the 50 jumping pull-ups.</t>
  </si>
  <si>
    <t>Dumbbell Swings</t>
  </si>
  <si>
    <t>Dumbbell Overhead Walking Lunges</t>
  </si>
  <si>
    <t>Burpee Broad Jumps</t>
  </si>
  <si>
    <t>Sandbag over the shoulder</t>
  </si>
  <si>
    <t>Handstand Push Ups</t>
  </si>
  <si>
    <t>Dumbbell Burpee Deadlift</t>
  </si>
  <si>
    <t>Activities List</t>
  </si>
  <si>
    <t>Pre-defined</t>
  </si>
  <si>
    <t>Max</t>
  </si>
  <si>
    <t>Squats</t>
  </si>
  <si>
    <t>Pistols</t>
  </si>
  <si>
    <t>Jumping Pull Ups</t>
  </si>
  <si>
    <t>Walking Lunges</t>
  </si>
  <si>
    <t>Knees to Elbows</t>
  </si>
  <si>
    <t>Back Extensions</t>
  </si>
  <si>
    <t>Box Jumps</t>
  </si>
  <si>
    <t>Kettleball Swings</t>
  </si>
  <si>
    <t xml:space="preserve">Wall Ball Shots </t>
  </si>
  <si>
    <t>Muscle Ups</t>
  </si>
  <si>
    <t>Hang Power Cleans</t>
  </si>
  <si>
    <t>Squat clean</t>
  </si>
  <si>
    <t>Muscle-ups</t>
  </si>
  <si>
    <t>Overhead Squat</t>
  </si>
  <si>
    <t>Dumbbell snatch</t>
  </si>
  <si>
    <t>1 Mile</t>
  </si>
  <si>
    <t>Handstand Push-ups</t>
  </si>
  <si>
    <t>Kettlebell Swings</t>
  </si>
  <si>
    <t>Power Snatches</t>
  </si>
  <si>
    <t>Rope Climb</t>
  </si>
  <si>
    <t>Run Backwards</t>
  </si>
  <si>
    <t>Run, 400</t>
  </si>
  <si>
    <t>Dumbbell Split Cleans</t>
  </si>
  <si>
    <t>Box Jumps, 24/20 in</t>
  </si>
  <si>
    <t>Push Press, 115/75 lbs</t>
  </si>
  <si>
    <t>Kettlebell Swings, 2/1.5 pood</t>
  </si>
  <si>
    <t>GHD Sit-ups</t>
  </si>
  <si>
    <t>Sumo Deadlift High Pulls, 95/65 lbs</t>
  </si>
  <si>
    <t>Push Jerks, 155/105 lbs</t>
  </si>
  <si>
    <t>Deadlifts, 155/105 lbs</t>
  </si>
  <si>
    <t>Hang Power Cleans, 155/105 lbs</t>
  </si>
  <si>
    <t>Deadlifts</t>
  </si>
  <si>
    <t>Chest to bar - pull up</t>
  </si>
  <si>
    <t>Dumbell Squat Clean</t>
  </si>
  <si>
    <t>Air Squats</t>
  </si>
  <si>
    <t>Handstand Push-up (rings)s</t>
  </si>
  <si>
    <t>Pull Up (L)s</t>
  </si>
  <si>
    <t>Sit Up (Ghd)s</t>
  </si>
  <si>
    <t>Stiff Legged Deadlift</t>
  </si>
  <si>
    <t>Knees To Elbows</t>
  </si>
  <si>
    <t>Wall Balls, 20/14 lbs, 10/9 ft</t>
  </si>
  <si>
    <t>Knees-to-elbows</t>
  </si>
  <si>
    <t>Rope Climbs</t>
  </si>
  <si>
    <t>Muscle-Ups</t>
  </si>
  <si>
    <t>Deadlifts, 225/155 lbs</t>
  </si>
  <si>
    <t>Deadlifts, 295/205 lbs</t>
  </si>
  <si>
    <t>Bench Press, 195/135 lbs</t>
  </si>
  <si>
    <t>Cleans, 145/100 lbs</t>
  </si>
  <si>
    <t>Thrusters, 95/65 lbs</t>
  </si>
  <si>
    <t>Ring Push-ups</t>
  </si>
  <si>
    <t>Strict Pull-ups</t>
  </si>
  <si>
    <t>Hand Release Push-ups</t>
  </si>
  <si>
    <t>Dumbbell Squat Cleans</t>
  </si>
  <si>
    <t>Toes To Bars</t>
  </si>
  <si>
    <t>Sumo Deadlift High-pulls</t>
  </si>
  <si>
    <t>Farmers Carry</t>
  </si>
  <si>
    <t>Back Squats</t>
  </si>
  <si>
    <t>Burpee Pull-ups</t>
  </si>
  <si>
    <t>Sprint</t>
  </si>
  <si>
    <t>Parallete Handstand Push-ups</t>
  </si>
  <si>
    <t>Toes Through Rings</t>
  </si>
  <si>
    <t>Medicine Ball Cleans</t>
  </si>
  <si>
    <t>Power Cleans</t>
  </si>
  <si>
    <t>Burpee Pull Ups</t>
  </si>
  <si>
    <t>Pull Up (Chest To Bar)s</t>
  </si>
  <si>
    <t>Clean &amp; Jerks</t>
  </si>
  <si>
    <t>Front Squats</t>
  </si>
  <si>
    <t>Jerks</t>
  </si>
  <si>
    <t>Dumbbell Hang Split Snatch</t>
  </si>
  <si>
    <t>Wall Ball</t>
  </si>
  <si>
    <t>Box Jump</t>
  </si>
  <si>
    <t>Kettlebell Swing</t>
  </si>
  <si>
    <t>Rest</t>
  </si>
  <si>
    <t>Lower From Inverted Hangs</t>
  </si>
  <si>
    <t>Ring Rows</t>
  </si>
  <si>
    <t>Push Up (Rings)s</t>
  </si>
  <si>
    <t>Dumbbell Hang Squat Cleans</t>
  </si>
  <si>
    <t>Squat Clean</t>
  </si>
  <si>
    <t>Toes-to-bars</t>
  </si>
  <si>
    <t>Plate Overhead Walking Lunges</t>
  </si>
  <si>
    <t>Squat cleans</t>
  </si>
  <si>
    <t>Shuttle sprints</t>
  </si>
  <si>
    <t>Burpee Box Jumps</t>
  </si>
  <si>
    <t>2 Minutes</t>
  </si>
  <si>
    <t>Dumbbell Deadlifts</t>
  </si>
  <si>
    <t>KB swing</t>
  </si>
  <si>
    <t xml:space="preserve">Pull-ups </t>
  </si>
  <si>
    <t xml:space="preserve">Wall-ball </t>
  </si>
  <si>
    <t xml:space="preserve">Clean </t>
  </si>
  <si>
    <t xml:space="preserve">Run </t>
  </si>
  <si>
    <t xml:space="preserve">Bench </t>
  </si>
  <si>
    <t xml:space="preserve">Push Press </t>
  </si>
  <si>
    <t>Push Jerks</t>
  </si>
  <si>
    <t>Sumo Deadlift High Pulls</t>
  </si>
  <si>
    <t>Overhead Walk</t>
  </si>
  <si>
    <t>Overhead Walks</t>
  </si>
  <si>
    <t>Plate Run</t>
  </si>
  <si>
    <t>Turkish Get-ups</t>
  </si>
  <si>
    <t>Kettlebell Overhead Squats</t>
  </si>
  <si>
    <t>Sandbag Carry</t>
  </si>
  <si>
    <t>Standing Broad Jump</t>
  </si>
  <si>
    <t>Bear Crawl</t>
  </si>
  <si>
    <t>Chest-to-bar Pull-ups</t>
  </si>
  <si>
    <t>Cleans</t>
  </si>
  <si>
    <r>
      <t xml:space="preserve">Activities   </t>
    </r>
    <r>
      <rPr>
        <b/>
        <sz val="11"/>
        <color theme="1"/>
        <rFont val="Wingdings"/>
        <charset val="2"/>
      </rPr>
      <t>Ú</t>
    </r>
  </si>
  <si>
    <r>
      <t xml:space="preserve">Reps </t>
    </r>
    <r>
      <rPr>
        <b/>
        <sz val="11"/>
        <color theme="1"/>
        <rFont val="Wingdings"/>
        <charset val="2"/>
      </rPr>
      <t>Ú</t>
    </r>
  </si>
  <si>
    <t>Add +</t>
  </si>
  <si>
    <t>AMRAP TAB</t>
  </si>
  <si>
    <t>EMOM TAB</t>
  </si>
  <si>
    <r>
      <t xml:space="preserve">Activities   </t>
    </r>
    <r>
      <rPr>
        <b/>
        <sz val="11"/>
        <rFont val="Wingdings"/>
        <charset val="2"/>
      </rPr>
      <t>Ú</t>
    </r>
  </si>
  <si>
    <t>Odd / Even</t>
  </si>
  <si>
    <t>Every Minute</t>
  </si>
  <si>
    <t>CHIPPER</t>
  </si>
  <si>
    <r>
      <t xml:space="preserve">Reps </t>
    </r>
    <r>
      <rPr>
        <b/>
        <sz val="11"/>
        <rFont val="Wingdings"/>
        <charset val="2"/>
      </rPr>
      <t>Ú</t>
    </r>
  </si>
  <si>
    <t>Descending</t>
  </si>
  <si>
    <t>Ascending</t>
  </si>
  <si>
    <t>Chipper Tab</t>
  </si>
  <si>
    <t>Ladder Tab</t>
  </si>
  <si>
    <t>Tabata Tab</t>
  </si>
  <si>
    <t>Rounds</t>
  </si>
  <si>
    <t xml:space="preserve">Timer -1 </t>
  </si>
  <si>
    <t>Timer 2</t>
  </si>
  <si>
    <t>One Minute Interval</t>
  </si>
  <si>
    <t>Total Timer to count 30 Min</t>
  </si>
  <si>
    <t>20 Minute Countdown</t>
  </si>
  <si>
    <t xml:space="preserve">Deadlift </t>
  </si>
  <si>
    <t>Count Timer Up</t>
  </si>
  <si>
    <t>Clean</t>
  </si>
  <si>
    <t>KB Swing</t>
  </si>
  <si>
    <t>Rounds - 5</t>
  </si>
  <si>
    <t>Rounds - 10</t>
  </si>
  <si>
    <t>Kettlebell swings</t>
  </si>
  <si>
    <t>Snatch</t>
  </si>
  <si>
    <t>Rounds - 3</t>
  </si>
  <si>
    <t>10...9...8...7...6...5...4...3...2...1</t>
  </si>
  <si>
    <t>10...9...8...7...6...5...4...3...2…1</t>
  </si>
  <si>
    <t>Pull Ups</t>
  </si>
  <si>
    <r>
      <t xml:space="preserve">Criteria 1  </t>
    </r>
    <r>
      <rPr>
        <b/>
        <sz val="11"/>
        <rFont val="Wingdings"/>
        <charset val="2"/>
      </rPr>
      <t>Ú</t>
    </r>
  </si>
  <si>
    <r>
      <t xml:space="preserve">Criteria 2 </t>
    </r>
    <r>
      <rPr>
        <b/>
        <sz val="11"/>
        <rFont val="Wingdings"/>
        <charset val="2"/>
      </rPr>
      <t>Ú</t>
    </r>
  </si>
  <si>
    <t>Custom</t>
  </si>
  <si>
    <t>Dae Han</t>
  </si>
  <si>
    <r>
      <t xml:space="preserve">Run, </t>
    </r>
    <r>
      <rPr>
        <sz val="11"/>
        <color rgb="FFFF0000"/>
        <rFont val="Calibri"/>
        <family val="2"/>
        <scheme val="minor"/>
      </rPr>
      <t>45/35 lbs</t>
    </r>
    <r>
      <rPr>
        <sz val="11"/>
        <color theme="1"/>
        <rFont val="Calibri"/>
        <family val="2"/>
        <scheme val="minor"/>
      </rPr>
      <t>, 800 m</t>
    </r>
  </si>
  <si>
    <t>3 Rope Climbs</t>
  </si>
  <si>
    <t>12 Thrusters</t>
  </si>
  <si>
    <t>Desforges</t>
  </si>
  <si>
    <t>12 Deadlifts</t>
  </si>
  <si>
    <t>20 Pull-ups</t>
  </si>
  <si>
    <t>12 Clean &amp; Jerks</t>
  </si>
  <si>
    <t>20 Knees-to-elbows</t>
  </si>
  <si>
    <t>Rahoi</t>
  </si>
  <si>
    <t>12 Box Jumps</t>
  </si>
  <si>
    <t>Complete as many rounds as possible in 12 mins of:</t>
  </si>
  <si>
    <t>6 Thrusters</t>
  </si>
  <si>
    <t>6 Bar Facing Burpees</t>
  </si>
  <si>
    <t>Zimmerman</t>
  </si>
  <si>
    <t>11 Chest-to-bar Pull-ups</t>
  </si>
  <si>
    <t>Complete as many rounds as possible in 25 mins of:</t>
  </si>
  <si>
    <t>2 Deadlifts</t>
  </si>
  <si>
    <t>10 Handstand Push-ups</t>
  </si>
  <si>
    <t>Klepto</t>
  </si>
  <si>
    <t>27 Box Jumps, 24/20 in</t>
  </si>
  <si>
    <t>20 Burpees</t>
  </si>
  <si>
    <t>11 Squat Cleans,</t>
  </si>
  <si>
    <t>Del</t>
  </si>
  <si>
    <t>25 Burpees</t>
  </si>
  <si>
    <t>Medicine Ball Run, 400 m</t>
  </si>
  <si>
    <t xml:space="preserve">25 Weighted Pull-ups, </t>
  </si>
  <si>
    <t>Medicine Ball Run, 20/14 lbs, 400 m</t>
  </si>
  <si>
    <t>25 Handstand Push Ups</t>
  </si>
  <si>
    <t>25 Chest-to-bar Pull-ups</t>
  </si>
  <si>
    <t>Pheezy</t>
  </si>
  <si>
    <t>5 Front Squats, 165/115 lbs</t>
  </si>
  <si>
    <t>18 Pull-ups</t>
  </si>
  <si>
    <t>5 Deadlifts, 225/155 lbs</t>
  </si>
  <si>
    <t>18 Toes To Bars</t>
  </si>
  <si>
    <t>5 Push Jerks, 165/115 lbs</t>
  </si>
  <si>
    <t>18 Hand Release Push-ups</t>
  </si>
  <si>
    <t>J.J.</t>
  </si>
  <si>
    <t>1 Squat Clean, 185/125 lbs</t>
  </si>
  <si>
    <t>10 Parallette Handstand Push-ups</t>
  </si>
  <si>
    <t>2 Squat Cleans, 185/125 lbs</t>
  </si>
  <si>
    <t>9 Parallette Handstand Push-ups</t>
  </si>
  <si>
    <t>3 Squat Cleans, 185/125 lbs</t>
  </si>
  <si>
    <t>8 Parallette Handstand Push-ups</t>
  </si>
  <si>
    <t>4 Squat Cleans, 185/125 lbs</t>
  </si>
  <si>
    <t>7 Parallette Handstand Push-ups</t>
  </si>
  <si>
    <t>5 Squat Cleans, 185/125 lbs</t>
  </si>
  <si>
    <t>6 Parallette Handstand Push-ups</t>
  </si>
  <si>
    <t>6 Squat Cleans, 185/125 lbs</t>
  </si>
  <si>
    <t>5 Parallette Handstand Push-ups</t>
  </si>
  <si>
    <t>7 Squat Cleans, 185/125 lbs</t>
  </si>
  <si>
    <t>4 Parallette Handstand Push-ups</t>
  </si>
  <si>
    <t>8 Squat Cleans, 185/125 lbs</t>
  </si>
  <si>
    <t>3 Parallette Handstand Push-ups</t>
  </si>
  <si>
    <t>9 Squat Cleans, 185/125 lbs</t>
  </si>
  <si>
    <t>2 Parallette Handstand Push-ups</t>
  </si>
  <si>
    <t>10 Squat Cleans, 185/125 lbs</t>
  </si>
  <si>
    <t>1 Parallette Handstand Push-up</t>
  </si>
  <si>
    <t>Jag 28</t>
  </si>
  <si>
    <t>-- then --</t>
  </si>
  <si>
    <t>28 Kettlebell Swings, 2/1.5 pood</t>
  </si>
  <si>
    <t>28 Strict Pull-ups</t>
  </si>
  <si>
    <t>28 Double Kettlebell Clean &amp; Jerks, 2/1.5 pood each</t>
  </si>
  <si>
    <t>Brian</t>
  </si>
  <si>
    <t>5 Rope Climbs, 15 ft</t>
  </si>
  <si>
    <t>25 Back Squats, 185/135 lbs</t>
  </si>
  <si>
    <t>Nick</t>
  </si>
  <si>
    <t>10 Dumbbell Hang Squat Cleans, 45/35 lbs</t>
  </si>
  <si>
    <t>12 rounds for time of:</t>
  </si>
  <si>
    <t>6 Dumbbell Handstand Push-ups</t>
  </si>
  <si>
    <t>Strange</t>
  </si>
  <si>
    <t>Run, 600 m</t>
  </si>
  <si>
    <t>11 Weighted Pull-ups, 1.5/1 pood</t>
  </si>
  <si>
    <t>11 Weighted Walking Lunges, 1.5/1 pood</t>
  </si>
  <si>
    <t>11 Kettlebell Thrusters, 1.5/1 pood</t>
  </si>
  <si>
    <t>Tumilson</t>
  </si>
  <si>
    <t>Run, 200 m</t>
  </si>
  <si>
    <t>8 rounds for time of</t>
  </si>
  <si>
    <t>11 Dumbbell Burpee Deadlifts, 60/40 lbs</t>
  </si>
  <si>
    <t>Ship</t>
  </si>
  <si>
    <t>9 rounds for time of:</t>
  </si>
  <si>
    <t>8 Burpee Box Jumps, 36/30 in</t>
  </si>
  <si>
    <t>Jared</t>
  </si>
  <si>
    <t>4 rounds for time of:4 rounds for time of:</t>
  </si>
  <si>
    <t>40 Pull-ups</t>
  </si>
  <si>
    <t>70 Push-ups</t>
  </si>
  <si>
    <t>Tully</t>
  </si>
  <si>
    <t>Swim, 200 m</t>
  </si>
  <si>
    <t>23 Dumbbell Squat Cleans, 40 lbs</t>
  </si>
  <si>
    <t>Holleyman</t>
  </si>
  <si>
    <t>5 Wall Balls, 20/14 lbs</t>
  </si>
  <si>
    <t>30 rounds for time of:</t>
  </si>
  <si>
    <t>3 Handstand Push-ups</t>
  </si>
  <si>
    <t>1 Power Clean, 225/155 lbs</t>
  </si>
  <si>
    <t>Adrian</t>
  </si>
  <si>
    <t>3 Forward Rolls</t>
  </si>
  <si>
    <t>5 Wall Climbs</t>
  </si>
  <si>
    <t>7 Toes To Bars</t>
  </si>
  <si>
    <t>9 Box Jump (30 in.)s</t>
  </si>
  <si>
    <t>Glen</t>
  </si>
  <si>
    <t>30 Clean &amp; Jerks, 135/95 lbs</t>
  </si>
  <si>
    <t>10 Rope Climbs, 15 ft</t>
  </si>
  <si>
    <t>100 Burpees</t>
  </si>
  <si>
    <t>Tom</t>
  </si>
  <si>
    <t>7 Muscle-ups</t>
  </si>
  <si>
    <t>11 Thrusters, 155/105 lbs</t>
  </si>
  <si>
    <t>14 Toes-to-bars</t>
  </si>
  <si>
    <t>Ralph</t>
  </si>
  <si>
    <t>8 Deadlifts, 250/175 lbs</t>
  </si>
  <si>
    <t>16 Burpees</t>
  </si>
  <si>
    <t>3 Rope Climbs, 15 ft</t>
  </si>
  <si>
    <t>Clovis</t>
  </si>
  <si>
    <t>Run, 10 mi</t>
  </si>
  <si>
    <t>150 Burpee Pull Ups</t>
  </si>
  <si>
    <t>Weston</t>
  </si>
  <si>
    <t>Row, 1000 m</t>
  </si>
  <si>
    <t>Dumbbell Farmers Walk, 45/35 lbs, 200 m</t>
  </si>
  <si>
    <t>R Arm Dumbbell Waiter Walk, 45/35 lbs, 50 m</t>
  </si>
  <si>
    <t>L Arm Dumbbell Waiter Walk, 45/35 lbs, 50 m</t>
  </si>
  <si>
    <t>Loredo</t>
  </si>
  <si>
    <t>24 Air Squats</t>
  </si>
  <si>
    <t>24 Push-ups</t>
  </si>
  <si>
    <t>24 Walking Lunges</t>
  </si>
  <si>
    <t>Sean</t>
  </si>
  <si>
    <t>22 Front Squats, 75/55 lbs</t>
  </si>
  <si>
    <t>Hortman</t>
  </si>
  <si>
    <t>Complete as many rounds as possible in 45 mins of:</t>
  </si>
  <si>
    <t>80 Air Squats</t>
  </si>
  <si>
    <t>8 Muscle-ups</t>
  </si>
  <si>
    <t>Hamilton</t>
  </si>
  <si>
    <t>50 Push-ups</t>
  </si>
  <si>
    <t>Run, 1000 m</t>
  </si>
  <si>
    <t>50 Pull-ups</t>
  </si>
  <si>
    <t>Zeus</t>
  </si>
  <si>
    <t>30 Wall Balls, 20/14 lbs</t>
  </si>
  <si>
    <t>30 Sumo Deadlift High-pulls, 75/55 lbs</t>
  </si>
  <si>
    <t>30 Box Jumps, 20/16 in</t>
  </si>
  <si>
    <t>30 Push Press, 75/55 lbs</t>
  </si>
  <si>
    <t>30 Row Calories</t>
  </si>
  <si>
    <t>30 Push-ups</t>
  </si>
  <si>
    <t>10 Back Squats, 1x bodyweight</t>
  </si>
  <si>
    <t>Barraza</t>
  </si>
  <si>
    <t>Complete as many rounds as possible in 18 mins of:</t>
  </si>
  <si>
    <t>9 Deadlifts, 275/185 lbs</t>
  </si>
  <si>
    <t>6 Burpee Bar Muscle-ups</t>
  </si>
  <si>
    <t>Cameron</t>
  </si>
  <si>
    <t>50 Walking Lunges</t>
  </si>
  <si>
    <t>50 Box Jumps, 24/20 in</t>
  </si>
  <si>
    <t>25 Triple Unders</t>
  </si>
  <si>
    <t>25 Ring Dips</t>
  </si>
  <si>
    <t>50 Knees-to-elbows</t>
  </si>
  <si>
    <t>25 2-for-1 Wall Balls, 20/14 lbs</t>
  </si>
  <si>
    <t>50 Sit-ups</t>
  </si>
  <si>
    <t>Jorge</t>
  </si>
  <si>
    <t>30 GHD Sit-ups</t>
  </si>
  <si>
    <t>15 Squat Cleans, 155/105 lbs</t>
  </si>
  <si>
    <t>24 GHD Sit-ups</t>
  </si>
  <si>
    <t>12 Squat Cleans, 155/105 lbs</t>
  </si>
  <si>
    <t>18 GHD Sit-ups</t>
  </si>
  <si>
    <t>9 Squat Cleans, 155/105 lbs</t>
  </si>
  <si>
    <t>12 GHD Sit-ups</t>
  </si>
  <si>
    <t>6 Squat Cleans, 155/105 lbs</t>
  </si>
  <si>
    <t>6 GHD Sit-ups</t>
  </si>
  <si>
    <t>3 Squat Cleans, 155/105 lbs</t>
  </si>
  <si>
    <t>Schmalls</t>
  </si>
  <si>
    <t>30 Pistols</t>
  </si>
  <si>
    <t>20 Kettlebell Swings, 1.5/1 pood</t>
  </si>
  <si>
    <t>Brehm</t>
  </si>
  <si>
    <t>20 Back Squats, 225/155 lbs</t>
  </si>
  <si>
    <t>30 Handstand Push-ups</t>
  </si>
  <si>
    <t>40 Row Calories</t>
  </si>
  <si>
    <t>Omar</t>
  </si>
  <si>
    <t>10 Thrusters, 95/65 lbs</t>
  </si>
  <si>
    <t>15 Bar Facing Burpees</t>
  </si>
  <si>
    <t>20 Thrusters, 95/65 lbs</t>
  </si>
  <si>
    <t>25 Bar Facing Burpees</t>
  </si>
  <si>
    <t>30 Thrusters, 95/65 lbs</t>
  </si>
  <si>
    <t>35 Bar Facing Burpees</t>
  </si>
  <si>
    <t>Gallant</t>
  </si>
  <si>
    <t>Medicine Ball Run, 20/14 lbs, 1 mi</t>
  </si>
  <si>
    <t>60 Burpee Pull-ups</t>
  </si>
  <si>
    <t>Medicine Ball Run, 20/14 lbs, 800 m</t>
  </si>
  <si>
    <t>30 Burpee Pull-ups</t>
  </si>
  <si>
    <t>15 Burpee Pull-ups</t>
  </si>
  <si>
    <t>Bruck</t>
  </si>
  <si>
    <t>24 Back Squats, 185/135 lbs</t>
  </si>
  <si>
    <t>24 Jerks, 135/95 lbs</t>
  </si>
  <si>
    <t>Smykowski</t>
  </si>
  <si>
    <t>Run, 6 km</t>
  </si>
  <si>
    <t>60 Burpee Pull Ups</t>
  </si>
  <si>
    <t>Falkel</t>
  </si>
  <si>
    <t>8 Handstand Push-ups</t>
  </si>
  <si>
    <t>8 Box Jumps, 30/24 in</t>
  </si>
  <si>
    <t>1 Rope Climb, 15 ft</t>
  </si>
  <si>
    <t>Donny</t>
  </si>
  <si>
    <t>Deadlift, 225/155 lbs</t>
  </si>
  <si>
    <t>21-15-9-9-15-21 reps, for time of:</t>
  </si>
  <si>
    <t>Burpee</t>
  </si>
  <si>
    <t>Dobogai</t>
  </si>
  <si>
    <t>Dumbbell Farmers Carry, 50/35 lbs, 22 yd</t>
  </si>
  <si>
    <t>Hotshots 19</t>
  </si>
  <si>
    <t>30 Air Squats</t>
  </si>
  <si>
    <t>19 Power Cleans, 135/95 lbs</t>
  </si>
  <si>
    <t>7 Strict Pull-ups</t>
  </si>
  <si>
    <t>Roney</t>
  </si>
  <si>
    <t>11 Thrusters, 135/95 lbs</t>
  </si>
  <si>
    <t>11 Push Press, 135/95 lbs</t>
  </si>
  <si>
    <t>11 Bench Press, 135/95 lbs</t>
  </si>
  <si>
    <t>The Don</t>
  </si>
  <si>
    <t>66 Deadlifts, 110/70 lbs</t>
  </si>
  <si>
    <t>66 Box Jumps, 24/20 in</t>
  </si>
  <si>
    <t>66 Kettlebell Swings, 53/35 lbs</t>
  </si>
  <si>
    <t>66 Knees-to-elbows</t>
  </si>
  <si>
    <t>66 Sit-ups</t>
  </si>
  <si>
    <t>66 Pull-ups</t>
  </si>
  <si>
    <t>66 Thrusters, 55/35 lbs</t>
  </si>
  <si>
    <t>66 Wall Balls, 20/14 lbs</t>
  </si>
  <si>
    <t>66 Burpees</t>
  </si>
  <si>
    <t>66 Double Unders</t>
  </si>
  <si>
    <t>Dragon</t>
  </si>
  <si>
    <t>Run, 5 km</t>
  </si>
  <si>
    <t>4 Deadlifts, pick load, 4 mins</t>
  </si>
  <si>
    <t>4 Push Jerks, pick load, 4 mins</t>
  </si>
  <si>
    <t>Walsh</t>
  </si>
  <si>
    <t>22 Burpee Pull Ups</t>
  </si>
  <si>
    <t>22 Back Squats, 185/135 lbs</t>
  </si>
  <si>
    <t>Run (bumper plate), 45/25 lbs, 200 m</t>
  </si>
  <si>
    <t>Lee</t>
  </si>
  <si>
    <t>1 Deadlift, 345/235 lbs</t>
  </si>
  <si>
    <t>5 Push Jerks, 185/125 lbs</t>
  </si>
  <si>
    <t>3 Muscle-ups</t>
  </si>
  <si>
    <t>Willy</t>
  </si>
  <si>
    <t>5 Front Squats, 225/155 lbs</t>
  </si>
  <si>
    <t>12 Kettlebell Swings, 2/1.5 pood</t>
  </si>
  <si>
    <t>Coffey</t>
  </si>
  <si>
    <t>50 Back Squats, 135/95 lbs</t>
  </si>
  <si>
    <t>50 Bench Press, 135/95 lbs</t>
  </si>
  <si>
    <t>35 Back Squats, 135/95 lbs</t>
  </si>
  <si>
    <t>35 Bench Press, 135/95 lbs</t>
  </si>
  <si>
    <t>20 Back Squats, 135/95 lbs</t>
  </si>
  <si>
    <t>20 Bench Press, 135/95 lbs</t>
  </si>
  <si>
    <t>1 Muscle-up</t>
  </si>
  <si>
    <t>DG</t>
  </si>
  <si>
    <t>8 Toes-to-bars</t>
  </si>
  <si>
    <t>Complete as many rounds as possible in 10 mins of:</t>
  </si>
  <si>
    <t>8 Dumbbell Thrusters, 35/25 lbs</t>
  </si>
  <si>
    <t>12 Dumbbell Walking Lunges, 35/25 lbs</t>
  </si>
  <si>
    <t>TK</t>
  </si>
  <si>
    <t>8 Strict Pull-ups</t>
  </si>
  <si>
    <t>8 Box Jumps, 36/30 in</t>
  </si>
  <si>
    <t>Taylor</t>
  </si>
  <si>
    <t>5 Burpee Muscle-ups</t>
  </si>
  <si>
    <t>Justin</t>
  </si>
  <si>
    <t>Back Squat, 1x bodyweight</t>
  </si>
  <si>
    <t>30-20-10 reps, for time of:</t>
  </si>
  <si>
    <t>Bench Press, 1x bodyweight</t>
  </si>
  <si>
    <t>Strict Pull-up</t>
  </si>
  <si>
    <t>Nukes</t>
  </si>
  <si>
    <t>For total reps-</t>
  </si>
  <si>
    <t>Max rep Deadlifts, 315/215 lbs</t>
  </si>
  <si>
    <t>8 mins to complete:</t>
  </si>
  <si>
    <t>Then, 10 mins to complete:</t>
  </si>
  <si>
    <t>Max rep Power Cleans, 225/155 lbs</t>
  </si>
  <si>
    <t>Then, 12 mins to complete:</t>
  </si>
  <si>
    <t>Max rep Overhead Squats, 135/95 lbs</t>
  </si>
  <si>
    <t>Zembiec</t>
  </si>
  <si>
    <t>11 Back Squats, 185/135 lbs</t>
  </si>
  <si>
    <t>7 Strict Burpee Pull-ups</t>
  </si>
  <si>
    <t>Alexander</t>
  </si>
  <si>
    <t>31 Back Squats, 135/95 lbs</t>
  </si>
  <si>
    <t>12 Power Cleans, 185/135 lbs</t>
  </si>
  <si>
    <t>Wyk</t>
  </si>
  <si>
    <t>Plate Run, 45/25 lbs, 400 m</t>
  </si>
  <si>
    <t>Bell</t>
  </si>
  <si>
    <t>21 Deadlifts, 185/135 lbs</t>
  </si>
  <si>
    <t>15 Pull-ups</t>
  </si>
  <si>
    <t>9 Front Squats, 185/135 lbs</t>
  </si>
  <si>
    <t>Jbo</t>
  </si>
  <si>
    <t>9 Overhead Squats, 115/75 lbs</t>
  </si>
  <si>
    <t>Complete as many rounds as possible in 28 mins of:</t>
  </si>
  <si>
    <t>1 Legless Rope Climb, 15 ft</t>
  </si>
  <si>
    <t>12 Bench Press, 115/75 lbs</t>
  </si>
  <si>
    <t xml:space="preserve">
Kevin</t>
  </si>
  <si>
    <t>32 Deadlifts, 185/125 lbs</t>
  </si>
  <si>
    <t>32 Hanging Hip Touches, alternating arms</t>
  </si>
  <si>
    <t>Farmers Run, 15/10 lbs dumbbells, 800 m</t>
  </si>
  <si>
    <t>Rocket</t>
  </si>
  <si>
    <t>Swim, 50 yd</t>
  </si>
  <si>
    <t>10 Push-ups</t>
  </si>
  <si>
    <t>15 Air Squats</t>
  </si>
  <si>
    <t>Riley</t>
  </si>
  <si>
    <t>Run, 1.5 mi</t>
  </si>
  <si>
    <t>150 Burpees</t>
  </si>
  <si>
    <t>Feeks</t>
  </si>
  <si>
    <t>2 Shuttle Runs, 100 m</t>
  </si>
  <si>
    <t>2 Dumbbell Squat Clean Thrusters, 65 lbs</t>
  </si>
  <si>
    <t>4 Shuttle Runs, 100 m</t>
  </si>
  <si>
    <t>4 Dumbbell Squat Clean Thrusters, 65 lbs</t>
  </si>
  <si>
    <t>6 Shuttle Runs, 100 m</t>
  </si>
  <si>
    <t>6 Dumbbell Squat Clean Thrusters, 65 lbs</t>
  </si>
  <si>
    <t>8 Shuttle Runs, 100 m</t>
  </si>
  <si>
    <t>8 Dumbbell Squat Clean Thrusters, 65 lbs</t>
  </si>
  <si>
    <t>10 Shuttle Runs, 100 m</t>
  </si>
  <si>
    <t>10 Dumbbell Squat Clean Thrusters, 65 lbs</t>
  </si>
  <si>
    <t>12 Shuttle Runs, 100 m</t>
  </si>
  <si>
    <t>12 Dumbbell Squat Clean Thrusters, 65 lbs</t>
  </si>
  <si>
    <t>14 Shuttle Runs, 100 m</t>
  </si>
  <si>
    <t>14 Dumbbell Squat Clean Thrusters, 65 lbs</t>
  </si>
  <si>
    <t>16 Shuttle Runs, 100 m</t>
  </si>
  <si>
    <t>16 Dumbbell Squat Clean Thrusters, 65 lbs</t>
  </si>
  <si>
    <t>Ned</t>
  </si>
  <si>
    <t>11 Back Squats, 1x bodyweight</t>
  </si>
  <si>
    <t>Sham</t>
  </si>
  <si>
    <t>11 Deadlifts, 1x bodyweight</t>
  </si>
  <si>
    <t>Run, 100 m</t>
  </si>
  <si>
    <t>Ozzy</t>
  </si>
  <si>
    <t>11 Deficit Handstand Push Ups</t>
  </si>
  <si>
    <t>Count Up</t>
  </si>
  <si>
    <t>Round - 1</t>
  </si>
  <si>
    <r>
      <t xml:space="preserve">Criteria 1  </t>
    </r>
    <r>
      <rPr>
        <b/>
        <sz val="12"/>
        <color theme="0"/>
        <rFont val="Wingdings"/>
        <charset val="2"/>
      </rPr>
      <t>Ú</t>
    </r>
  </si>
  <si>
    <r>
      <t xml:space="preserve">Criteria 2 </t>
    </r>
    <r>
      <rPr>
        <b/>
        <sz val="12"/>
        <color theme="0"/>
        <rFont val="Wingdings"/>
        <charset val="2"/>
      </rPr>
      <t>Ú</t>
    </r>
  </si>
  <si>
    <r>
      <t xml:space="preserve">Activities   </t>
    </r>
    <r>
      <rPr>
        <b/>
        <sz val="12"/>
        <color theme="0"/>
        <rFont val="Wingdings"/>
        <charset val="2"/>
      </rPr>
      <t>Ú</t>
    </r>
  </si>
  <si>
    <r>
      <t xml:space="preserve">Reps </t>
    </r>
    <r>
      <rPr>
        <b/>
        <sz val="12"/>
        <color theme="0"/>
        <rFont val="Wingdings"/>
        <charset val="2"/>
      </rPr>
      <t>Ú</t>
    </r>
  </si>
  <si>
    <t>Rounds -1</t>
  </si>
  <si>
    <t>Count Down - 20</t>
  </si>
  <si>
    <t>Round  -1</t>
  </si>
  <si>
    <t>Rounds - 1</t>
  </si>
  <si>
    <t>30…25…20...15…10…5</t>
  </si>
  <si>
    <t>R Arm Turkish Get-ups</t>
  </si>
  <si>
    <t>L Arm Kettlebell Overhead Squats</t>
  </si>
  <si>
    <t>R Arm Kettlebell Overhead Squats</t>
  </si>
  <si>
    <t>L Arm Turkish Get-ups</t>
  </si>
  <si>
    <t>Rounds - 7</t>
  </si>
  <si>
    <t>Count Down - 30</t>
  </si>
  <si>
    <t xml:space="preserve">Rounds -5 </t>
  </si>
  <si>
    <t>Rounds - 2</t>
  </si>
  <si>
    <t xml:space="preserve">Open </t>
  </si>
  <si>
    <t>Open</t>
  </si>
  <si>
    <t>HR Push-Ups</t>
  </si>
  <si>
    <t>BoxJumps</t>
  </si>
  <si>
    <t>SquatClean</t>
  </si>
  <si>
    <t>Jerk</t>
  </si>
  <si>
    <t>Burpees Over Bar</t>
  </si>
  <si>
    <t>Toes-To-Bar</t>
  </si>
  <si>
    <t>Wallballs</t>
  </si>
  <si>
    <t>Max Rep Power Snatches</t>
  </si>
  <si>
    <t>Push Presses</t>
  </si>
  <si>
    <t>Toes-to Bar</t>
  </si>
  <si>
    <t>Snatches</t>
  </si>
  <si>
    <t>Max Rep Snatches</t>
  </si>
  <si>
    <t>Shoulder to Overheads</t>
  </si>
  <si>
    <t>Chest-to-Bar Pull-Ups</t>
  </si>
  <si>
    <t>Dead lifts</t>
  </si>
  <si>
    <t>Cal. Row</t>
  </si>
  <si>
    <t>Toes-to,.Bar</t>
  </si>
  <si>
    <t>Wallballs 2CV</t>
  </si>
  <si>
    <t>Rep Max Clean &amp; Jerk</t>
  </si>
  <si>
    <t>Handstand Push-Ups</t>
  </si>
  <si>
    <t>Row (Calories</t>
  </si>
  <si>
    <t>Overhead Walking Lunge</t>
  </si>
  <si>
    <t>Chest-to Bar</t>
  </si>
  <si>
    <t>Squat Cleans (Chipper</t>
  </si>
  <si>
    <t>Bar Muscle-Ups</t>
  </si>
  <si>
    <t>Calorie Row</t>
  </si>
  <si>
    <t>dumbbell snatches</t>
  </si>
  <si>
    <t>burpee box jump-overs</t>
  </si>
  <si>
    <t>toes-to-bars</t>
  </si>
  <si>
    <t>bar muscle-ups</t>
  </si>
  <si>
    <t>chest-to-bar pull-ups</t>
  </si>
  <si>
    <t>deadlifts, 225 lb</t>
  </si>
  <si>
    <t>wall-ball shots, 20-lb. ball to 10-ft. target</t>
  </si>
  <si>
    <t>calorie row</t>
  </si>
  <si>
    <t>handstand push-ups</t>
  </si>
  <si>
    <t>double-unders</t>
  </si>
  <si>
    <t>cal. row</t>
  </si>
  <si>
    <t>overhead squats</t>
  </si>
  <si>
    <t>ring muscle-ups</t>
  </si>
  <si>
    <t>ft. handstand walk</t>
  </si>
  <si>
    <t>thrusters</t>
  </si>
  <si>
    <t>wall-ball shots</t>
  </si>
  <si>
    <t>ft. dumbbell overhead lunge</t>
  </si>
  <si>
    <t>dumbbell box step-ups</t>
  </si>
  <si>
    <t>strict handstand push-ups</t>
  </si>
  <si>
    <t>snatches</t>
  </si>
  <si>
    <t>bar-facing burpees</t>
  </si>
  <si>
    <t>reps for time of</t>
  </si>
  <si>
    <t>lb. thrusters</t>
  </si>
  <si>
    <t>rounds for time of</t>
  </si>
  <si>
    <t>ground-to-overheads, 95 lb</t>
  </si>
  <si>
    <t>Complete as many rounds as possible in 20 minutes of</t>
  </si>
  <si>
    <t>dumbbell thrusters</t>
  </si>
  <si>
    <t>box jumps, 24 in</t>
  </si>
  <si>
    <t>clean and jerks, 95 lb</t>
  </si>
  <si>
    <t>clean and jerks, 135 lb</t>
  </si>
  <si>
    <t>clean and jerks, 185 lb</t>
  </si>
  <si>
    <t>single-leg squats</t>
  </si>
  <si>
    <t>clean and jerks, 225 lb</t>
  </si>
  <si>
    <t>clean and jerks, 275 lb</t>
  </si>
  <si>
    <t>clean and jerks, 315 lb</t>
  </si>
  <si>
    <t>muscle-ups</t>
  </si>
  <si>
    <t>wall-ball shots, 20-lb. ball to 10 ft</t>
  </si>
  <si>
    <t>Count Down - 10</t>
  </si>
  <si>
    <t>Count Down - 1</t>
  </si>
  <si>
    <t>Count Down - 2</t>
  </si>
  <si>
    <t>Count Down - 3</t>
  </si>
  <si>
    <t>Count Down - 4</t>
  </si>
  <si>
    <t>Count Down - 5</t>
  </si>
  <si>
    <t>Count Down - 6</t>
  </si>
  <si>
    <t>Count Down - 7</t>
  </si>
  <si>
    <t>Count Down - 8</t>
  </si>
  <si>
    <t>Count Down - 9</t>
  </si>
  <si>
    <t>Count Down - 11</t>
  </si>
  <si>
    <t>Count Down - 12</t>
  </si>
  <si>
    <t>Count Down - 13</t>
  </si>
  <si>
    <t>Count Down - 14</t>
  </si>
  <si>
    <t>Count Down - 15</t>
  </si>
  <si>
    <t>Count Down - 16</t>
  </si>
  <si>
    <t>Count Down - 17</t>
  </si>
  <si>
    <t>Count Down - 18</t>
  </si>
  <si>
    <t>Count Down - 19</t>
  </si>
  <si>
    <t>Count Down - 21</t>
  </si>
  <si>
    <t>Count Down - 22</t>
  </si>
  <si>
    <t>Count Down - 23</t>
  </si>
  <si>
    <t>Count Down - 24</t>
  </si>
  <si>
    <t>Count Down - 25</t>
  </si>
  <si>
    <t>Count Down - 26</t>
  </si>
  <si>
    <t>Count Down - 27</t>
  </si>
  <si>
    <t>Count Down - 28</t>
  </si>
  <si>
    <t>Count Down - 29</t>
  </si>
  <si>
    <t>Count Down - 31</t>
  </si>
  <si>
    <t>Count Down - 32</t>
  </si>
  <si>
    <t>Count Down - 33</t>
  </si>
  <si>
    <t>Count Down - 34</t>
  </si>
  <si>
    <t>Count Down - 35</t>
  </si>
  <si>
    <t>Count Down - 36</t>
  </si>
  <si>
    <t>Count Down - 37</t>
  </si>
  <si>
    <t>Count Down - 38</t>
  </si>
  <si>
    <t>Count Down - 39</t>
  </si>
  <si>
    <t>Count Down - 40</t>
  </si>
  <si>
    <t>Count Down - 41</t>
  </si>
  <si>
    <t>Count Down - 42</t>
  </si>
  <si>
    <t>Count Down - 43</t>
  </si>
  <si>
    <t>Count Down - 44</t>
  </si>
  <si>
    <t>Count Down - 45</t>
  </si>
  <si>
    <t>Count Down - 46</t>
  </si>
  <si>
    <t>Count Down - 47</t>
  </si>
  <si>
    <t>Count Down - 48</t>
  </si>
  <si>
    <t>Count Down - 49</t>
  </si>
  <si>
    <t>Count Down - 50</t>
  </si>
  <si>
    <t>Count Down - 51</t>
  </si>
  <si>
    <t>Count Down - 52</t>
  </si>
  <si>
    <t>Count Down - 53</t>
  </si>
  <si>
    <t>Count Down - 54</t>
  </si>
  <si>
    <t>Count Down - 55</t>
  </si>
  <si>
    <t>Count Down - 56</t>
  </si>
  <si>
    <t>Count Down - 57</t>
  </si>
  <si>
    <t>Count Down - 58</t>
  </si>
  <si>
    <t>Count Down - 59</t>
  </si>
  <si>
    <t>T - 1</t>
  </si>
  <si>
    <t>T - 2</t>
  </si>
  <si>
    <t>T - 3</t>
  </si>
  <si>
    <t>T - 4</t>
  </si>
  <si>
    <t>T - 5</t>
  </si>
  <si>
    <t>T - 6</t>
  </si>
  <si>
    <t>T - 7</t>
  </si>
  <si>
    <t>T - 8</t>
  </si>
  <si>
    <t>T - 9</t>
  </si>
  <si>
    <t>T - 10</t>
  </si>
  <si>
    <t>T - 11</t>
  </si>
  <si>
    <t>T - 12</t>
  </si>
  <si>
    <t>T - 13</t>
  </si>
  <si>
    <t>T - 14</t>
  </si>
  <si>
    <t>T - 15</t>
  </si>
  <si>
    <t>T - 16</t>
  </si>
  <si>
    <t>T - 17</t>
  </si>
  <si>
    <t>T - 18</t>
  </si>
  <si>
    <t>T - 19</t>
  </si>
  <si>
    <t>T - 20</t>
  </si>
  <si>
    <t>T - 21</t>
  </si>
  <si>
    <t>T - 22</t>
  </si>
  <si>
    <t>T - 23</t>
  </si>
  <si>
    <t>T - 24</t>
  </si>
  <si>
    <t>T - 25</t>
  </si>
  <si>
    <t>T - 26</t>
  </si>
  <si>
    <t>T - 27</t>
  </si>
  <si>
    <t>T - 28</t>
  </si>
  <si>
    <t>T - 29</t>
  </si>
  <si>
    <t>T - 30</t>
  </si>
  <si>
    <t>T - 31</t>
  </si>
  <si>
    <t>T - 32</t>
  </si>
  <si>
    <t>T - 33</t>
  </si>
  <si>
    <t>T - 34</t>
  </si>
  <si>
    <t>T - 35</t>
  </si>
  <si>
    <t>T - 36</t>
  </si>
  <si>
    <t>T - 37</t>
  </si>
  <si>
    <t>T - 38</t>
  </si>
  <si>
    <t>T - 39</t>
  </si>
  <si>
    <t>T - 40</t>
  </si>
  <si>
    <t>T - 41</t>
  </si>
  <si>
    <t>T - 42</t>
  </si>
  <si>
    <t>T - 43</t>
  </si>
  <si>
    <t>T - 44</t>
  </si>
  <si>
    <t>T - 45</t>
  </si>
  <si>
    <t>T - 46</t>
  </si>
  <si>
    <t>T - 47</t>
  </si>
  <si>
    <t>T - 48</t>
  </si>
  <si>
    <t>T - 49</t>
  </si>
  <si>
    <t>T - 50</t>
  </si>
  <si>
    <t>T - 51</t>
  </si>
  <si>
    <t>T - 52</t>
  </si>
  <si>
    <t>T - 53</t>
  </si>
  <si>
    <t>T - 54</t>
  </si>
  <si>
    <t>T - 55</t>
  </si>
  <si>
    <t>T - 56</t>
  </si>
  <si>
    <t>T - 57</t>
  </si>
  <si>
    <t>T - 58</t>
  </si>
  <si>
    <t>T - 59</t>
  </si>
  <si>
    <t>T+1</t>
  </si>
  <si>
    <t>T+2</t>
  </si>
  <si>
    <t>T+3</t>
  </si>
  <si>
    <t>T+4</t>
  </si>
  <si>
    <t>T+5</t>
  </si>
  <si>
    <t>T+6</t>
  </si>
  <si>
    <t>T+7</t>
  </si>
  <si>
    <t>T+8</t>
  </si>
  <si>
    <t>T+9</t>
  </si>
  <si>
    <t>T+10</t>
  </si>
  <si>
    <t>T+11</t>
  </si>
  <si>
    <t>T+12</t>
  </si>
  <si>
    <t>T+13</t>
  </si>
  <si>
    <t>T+14</t>
  </si>
  <si>
    <t>T+15</t>
  </si>
  <si>
    <t>T+16</t>
  </si>
  <si>
    <t>T+17</t>
  </si>
  <si>
    <t>T+18</t>
  </si>
  <si>
    <t>T+19</t>
  </si>
  <si>
    <t>T+20</t>
  </si>
  <si>
    <t>T+21</t>
  </si>
  <si>
    <t>T+22</t>
  </si>
  <si>
    <t>T+23</t>
  </si>
  <si>
    <t>T+24</t>
  </si>
  <si>
    <t>T+25</t>
  </si>
  <si>
    <t>T+26</t>
  </si>
  <si>
    <t>T+27</t>
  </si>
  <si>
    <t>T+28</t>
  </si>
  <si>
    <t>T+29</t>
  </si>
  <si>
    <t>T+30</t>
  </si>
  <si>
    <t>T+31</t>
  </si>
  <si>
    <t>T+32</t>
  </si>
  <si>
    <t>T+33</t>
  </si>
  <si>
    <t>T+34</t>
  </si>
  <si>
    <t>T+35</t>
  </si>
  <si>
    <t>T+36</t>
  </si>
  <si>
    <t>T+37</t>
  </si>
  <si>
    <t>T+38</t>
  </si>
  <si>
    <t>T+39</t>
  </si>
  <si>
    <t>T+40</t>
  </si>
  <si>
    <t>T+41</t>
  </si>
  <si>
    <t>T+42</t>
  </si>
  <si>
    <t>T+43</t>
  </si>
  <si>
    <t>T+44</t>
  </si>
  <si>
    <t>T+45</t>
  </si>
  <si>
    <t>T+46</t>
  </si>
  <si>
    <t>T+47</t>
  </si>
  <si>
    <t>T+48</t>
  </si>
  <si>
    <t>T+49</t>
  </si>
  <si>
    <t>T+50</t>
  </si>
  <si>
    <t>T+51</t>
  </si>
  <si>
    <t>T+52</t>
  </si>
  <si>
    <t>T+53</t>
  </si>
  <si>
    <t>T+54</t>
  </si>
  <si>
    <t>T+55</t>
  </si>
  <si>
    <t>T+56</t>
  </si>
  <si>
    <t>T+57</t>
  </si>
  <si>
    <t>T+58</t>
  </si>
  <si>
    <t>T+59</t>
  </si>
  <si>
    <t>Count Up to + 1</t>
  </si>
  <si>
    <t>Count Up to + 2</t>
  </si>
  <si>
    <t>Count Up to + 3</t>
  </si>
  <si>
    <t>Count Up to + 4</t>
  </si>
  <si>
    <t>Count Up to + 5</t>
  </si>
  <si>
    <t>Count Up to + 6</t>
  </si>
  <si>
    <t>Count Up to + 7</t>
  </si>
  <si>
    <t>Count Up to + 8</t>
  </si>
  <si>
    <t>Count Up to + 9</t>
  </si>
  <si>
    <t>Count Up to + 10</t>
  </si>
  <si>
    <t>Count Up to + 11</t>
  </si>
  <si>
    <t>Count Up to + 12</t>
  </si>
  <si>
    <t>Count Up to + 13</t>
  </si>
  <si>
    <t>Count Up to + 14</t>
  </si>
  <si>
    <t>Count Up to + 15</t>
  </si>
  <si>
    <t>Count Up to + 16</t>
  </si>
  <si>
    <t>Count Up to + 17</t>
  </si>
  <si>
    <t>Count Up to + 18</t>
  </si>
  <si>
    <t>Count Up to + 19</t>
  </si>
  <si>
    <t>Count Up to + 20</t>
  </si>
  <si>
    <t>Count Up to + 21</t>
  </si>
  <si>
    <t>Count Up to + 22</t>
  </si>
  <si>
    <t>Count Up to + 23</t>
  </si>
  <si>
    <t>Count Up to + 24</t>
  </si>
  <si>
    <t>Count Up to + 25</t>
  </si>
  <si>
    <t>Count Up to + 26</t>
  </si>
  <si>
    <t>Count Up to + 27</t>
  </si>
  <si>
    <t>Count Up to + 28</t>
  </si>
  <si>
    <t>Count Up to + 29</t>
  </si>
  <si>
    <t>Count Up to + 30</t>
  </si>
  <si>
    <t>Count Up to + 31</t>
  </si>
  <si>
    <t>Count Up to + 32</t>
  </si>
  <si>
    <t>Count Up to + 33</t>
  </si>
  <si>
    <t>Count Up to + 34</t>
  </si>
  <si>
    <t>Count Up to + 35</t>
  </si>
  <si>
    <t>Count Up to + 36</t>
  </si>
  <si>
    <t>Count Up to + 37</t>
  </si>
  <si>
    <t>Count Up to + 38</t>
  </si>
  <si>
    <t>Count Up to + 39</t>
  </si>
  <si>
    <t>Count Up to + 40</t>
  </si>
  <si>
    <t>Count Up to + 41</t>
  </si>
  <si>
    <t>Count Up to + 42</t>
  </si>
  <si>
    <t>Count Up to + 43</t>
  </si>
  <si>
    <t>Count Up to + 44</t>
  </si>
  <si>
    <t>Count Up to + 45</t>
  </si>
  <si>
    <t>Count Up to + 46</t>
  </si>
  <si>
    <t>Count Up to + 47</t>
  </si>
  <si>
    <t>Count Up to + 48</t>
  </si>
  <si>
    <t>Count Up to + 49</t>
  </si>
  <si>
    <t>Count Up to + 50</t>
  </si>
  <si>
    <t>Count Up to + 51</t>
  </si>
  <si>
    <t>Count Up to + 52</t>
  </si>
  <si>
    <t>Count Up to + 53</t>
  </si>
  <si>
    <t>Count Up to + 54</t>
  </si>
  <si>
    <t>Count Up to + 55</t>
  </si>
  <si>
    <t>Count Up to + 56</t>
  </si>
  <si>
    <t>Count Up to + 57</t>
  </si>
  <si>
    <t>Count Up to + 58</t>
  </si>
  <si>
    <t>Count Up to + 59</t>
  </si>
  <si>
    <t>LADDER</t>
  </si>
  <si>
    <t>3…6…9</t>
  </si>
  <si>
    <t xml:space="preserve"> </t>
  </si>
  <si>
    <t>21…18…15…12…3</t>
  </si>
  <si>
    <t>21…18….15…12...3</t>
  </si>
  <si>
    <t>27…21…15…9</t>
  </si>
  <si>
    <t>21…18…15…12…9…6…3</t>
  </si>
  <si>
    <t>Ladder 21 - 3</t>
  </si>
  <si>
    <t>Squat snatches</t>
  </si>
  <si>
    <t>squat snatches</t>
  </si>
  <si>
    <t>Weighted walking lunge</t>
  </si>
  <si>
    <t>Power cleans</t>
  </si>
  <si>
    <t>Bar muscle-ups</t>
  </si>
  <si>
    <t>Rounds  - 1</t>
  </si>
  <si>
    <t>Dumbbell hang clean and jerks</t>
  </si>
  <si>
    <t>Row (Meters)</t>
  </si>
  <si>
    <t>deadlifts</t>
  </si>
  <si>
    <t>Countdown - 9</t>
  </si>
  <si>
    <t>1…2…3…4…5…6…7…8…9…10</t>
  </si>
  <si>
    <t>1…2…3…4…5…6…7…8…9…11</t>
  </si>
  <si>
    <t>squat cleans</t>
  </si>
  <si>
    <t>Round  - 10</t>
  </si>
  <si>
    <t>Toes To Bar</t>
  </si>
  <si>
    <t xml:space="preserve">Due Date: </t>
  </si>
  <si>
    <t>Rounds - 4</t>
  </si>
  <si>
    <t>Rounds - 6</t>
  </si>
  <si>
    <t>Count  Up</t>
  </si>
  <si>
    <t>Rounds  - 4</t>
  </si>
  <si>
    <t>Rounds  - 5</t>
  </si>
  <si>
    <t>Rounds  - 6</t>
  </si>
  <si>
    <t>Rounds  - 7</t>
  </si>
  <si>
    <t>Wall Balls, 20/14 lbs</t>
  </si>
  <si>
    <t>50…40…30…20…10</t>
  </si>
  <si>
    <t>50…40…30…20…11</t>
  </si>
  <si>
    <t>50…40…30…20…12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</si>
</sst>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rgb="FF262626"/>
      <name val="Arial"/>
      <family val="2"/>
    </font>
    <font>
      <sz val="10"/>
      <color rgb="FF262626"/>
      <name val="Arial"/>
      <family val="2"/>
    </font>
    <font>
      <sz val="12"/>
      <color rgb="FFFF0000"/>
      <name val="Courier New"/>
      <family val="3"/>
    </font>
    <font>
      <sz val="11"/>
      <color theme="0" tint="-4.9989318521683403E-2"/>
      <name val="Calibri"/>
      <family val="2"/>
      <scheme val="minor"/>
    </font>
    <font>
      <b/>
      <sz val="11"/>
      <color theme="1"/>
      <name val="Wingdings"/>
      <charset val="2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Wingdings"/>
      <charset val="2"/>
    </font>
    <font>
      <sz val="10"/>
      <color theme="4" tint="-0.499984740745262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rgb="FF0070C0"/>
      <name val="Calibri"/>
      <family val="2"/>
      <scheme val="minor"/>
    </font>
    <font>
      <sz val="9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Wingdings"/>
      <charset val="2"/>
    </font>
    <font>
      <i/>
      <sz val="8"/>
      <color rgb="FF0070C0"/>
      <name val="Calibri"/>
      <family val="2"/>
      <scheme val="minor"/>
    </font>
    <font>
      <b/>
      <i/>
      <sz val="9"/>
      <color rgb="FF0070C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4"/>
      <color rgb="FFFFFFFF"/>
      <name val="Arial"/>
      <family val="2"/>
    </font>
    <font>
      <sz val="14"/>
      <color rgb="FF002060"/>
      <name val="Arial"/>
      <family val="2"/>
    </font>
    <font>
      <b/>
      <sz val="72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72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0" borderId="0" xfId="0" applyFont="1"/>
    <xf numFmtId="0" fontId="3" fillId="2" borderId="0" xfId="0" applyFont="1" applyFill="1"/>
    <xf numFmtId="0" fontId="4" fillId="2" borderId="0" xfId="0" applyFont="1" applyFill="1"/>
    <xf numFmtId="0" fontId="5" fillId="0" borderId="0" xfId="0" applyFont="1"/>
    <xf numFmtId="0" fontId="6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0" fillId="0" borderId="9" xfId="0" applyBorder="1"/>
    <xf numFmtId="0" fontId="0" fillId="0" borderId="9" xfId="0" applyBorder="1" applyAlignment="1">
      <alignment horizontal="center"/>
    </xf>
    <xf numFmtId="0" fontId="1" fillId="3" borderId="9" xfId="0" applyFont="1" applyFill="1" applyBorder="1"/>
    <xf numFmtId="0" fontId="0" fillId="3" borderId="9" xfId="0" applyFill="1" applyBorder="1"/>
    <xf numFmtId="0" fontId="0" fillId="3" borderId="9" xfId="0" applyFill="1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Fill="1"/>
    <xf numFmtId="0" fontId="5" fillId="0" borderId="0" xfId="0" applyFont="1" applyAlignment="1">
      <alignment horizontal="center"/>
    </xf>
    <xf numFmtId="0" fontId="5" fillId="0" borderId="9" xfId="0" applyFont="1" applyBorder="1"/>
    <xf numFmtId="0" fontId="5" fillId="0" borderId="9" xfId="0" applyFont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8" xfId="0" applyBorder="1"/>
    <xf numFmtId="0" fontId="0" fillId="0" borderId="9" xfId="0" applyBorder="1" applyAlignment="1">
      <alignment horizontal="left" indent="1"/>
    </xf>
    <xf numFmtId="0" fontId="7" fillId="0" borderId="0" xfId="0" applyFont="1" applyAlignment="1">
      <alignment horizontal="left" vertical="center"/>
    </xf>
    <xf numFmtId="0" fontId="0" fillId="4" borderId="9" xfId="0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9" fillId="0" borderId="0" xfId="0" applyFont="1" applyAlignment="1">
      <alignment vertical="center"/>
    </xf>
    <xf numFmtId="0" fontId="0" fillId="5" borderId="3" xfId="0" applyFill="1" applyBorder="1"/>
    <xf numFmtId="0" fontId="0" fillId="5" borderId="5" xfId="0" applyFill="1" applyBorder="1"/>
    <xf numFmtId="0" fontId="0" fillId="0" borderId="9" xfId="0" applyFill="1" applyBorder="1" applyAlignment="1">
      <alignment horizontal="center"/>
    </xf>
    <xf numFmtId="0" fontId="0" fillId="0" borderId="0" xfId="0" applyFill="1" applyBorder="1" applyAlignment="1">
      <alignment horizontal="left" indent="1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11" xfId="0" applyFill="1" applyBorder="1" applyAlignment="1">
      <alignment horizontal="left" indent="1"/>
    </xf>
    <xf numFmtId="0" fontId="0" fillId="6" borderId="9" xfId="0" applyFill="1" applyBorder="1"/>
    <xf numFmtId="0" fontId="0" fillId="6" borderId="9" xfId="0" applyFill="1" applyBorder="1" applyAlignment="1">
      <alignment horizontal="center"/>
    </xf>
    <xf numFmtId="0" fontId="0" fillId="7" borderId="9" xfId="0" applyFill="1" applyBorder="1"/>
    <xf numFmtId="0" fontId="0" fillId="7" borderId="9" xfId="0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3" fillId="7" borderId="9" xfId="0" applyFont="1" applyFill="1" applyBorder="1"/>
    <xf numFmtId="0" fontId="14" fillId="7" borderId="9" xfId="0" applyFont="1" applyFill="1" applyBorder="1" applyAlignment="1">
      <alignment horizontal="center"/>
    </xf>
    <xf numFmtId="0" fontId="13" fillId="7" borderId="9" xfId="0" applyFont="1" applyFill="1" applyBorder="1" applyAlignment="1">
      <alignment horizontal="center"/>
    </xf>
    <xf numFmtId="0" fontId="14" fillId="7" borderId="9" xfId="0" applyFont="1" applyFill="1" applyBorder="1" applyAlignment="1">
      <alignment horizontal="center" vertical="center"/>
    </xf>
    <xf numFmtId="0" fontId="0" fillId="8" borderId="9" xfId="0" applyFill="1" applyBorder="1"/>
    <xf numFmtId="0" fontId="0" fillId="8" borderId="9" xfId="0" applyFill="1" applyBorder="1" applyAlignment="1">
      <alignment horizontal="center"/>
    </xf>
    <xf numFmtId="0" fontId="13" fillId="8" borderId="9" xfId="0" applyFont="1" applyFill="1" applyBorder="1"/>
    <xf numFmtId="0" fontId="14" fillId="8" borderId="9" xfId="0" applyFont="1" applyFill="1" applyBorder="1" applyAlignment="1">
      <alignment horizontal="center"/>
    </xf>
    <xf numFmtId="0" fontId="13" fillId="8" borderId="9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9" borderId="9" xfId="0" applyFill="1" applyBorder="1"/>
    <xf numFmtId="0" fontId="0" fillId="9" borderId="9" xfId="0" applyFill="1" applyBorder="1" applyAlignment="1">
      <alignment horizontal="center"/>
    </xf>
    <xf numFmtId="0" fontId="12" fillId="10" borderId="9" xfId="0" applyFont="1" applyFill="1" applyBorder="1"/>
    <xf numFmtId="0" fontId="12" fillId="10" borderId="9" xfId="0" applyFont="1" applyFill="1" applyBorder="1" applyAlignment="1">
      <alignment horizontal="center"/>
    </xf>
    <xf numFmtId="0" fontId="0" fillId="11" borderId="9" xfId="0" applyFill="1" applyBorder="1"/>
    <xf numFmtId="0" fontId="0" fillId="11" borderId="9" xfId="0" applyFill="1" applyBorder="1" applyAlignment="1">
      <alignment horizontal="center"/>
    </xf>
    <xf numFmtId="0" fontId="12" fillId="12" borderId="9" xfId="0" applyFont="1" applyFill="1" applyBorder="1"/>
    <xf numFmtId="0" fontId="12" fillId="12" borderId="9" xfId="0" applyFont="1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0" borderId="19" xfId="0" applyBorder="1"/>
    <xf numFmtId="0" fontId="0" fillId="0" borderId="22" xfId="0" applyBorder="1"/>
    <xf numFmtId="0" fontId="0" fillId="6" borderId="19" xfId="0" applyFill="1" applyBorder="1"/>
    <xf numFmtId="0" fontId="0" fillId="0" borderId="15" xfId="0" applyBorder="1"/>
    <xf numFmtId="0" fontId="13" fillId="8" borderId="10" xfId="0" applyFont="1" applyFill="1" applyBorder="1" applyAlignment="1">
      <alignment horizontal="center"/>
    </xf>
    <xf numFmtId="0" fontId="13" fillId="8" borderId="10" xfId="0" applyFont="1" applyFill="1" applyBorder="1" applyAlignment="1">
      <alignment horizontal="left" indent="1"/>
    </xf>
    <xf numFmtId="0" fontId="0" fillId="0" borderId="19" xfId="0" applyBorder="1" applyAlignment="1">
      <alignment horizontal="left" indent="1"/>
    </xf>
    <xf numFmtId="0" fontId="0" fillId="0" borderId="0" xfId="0" applyBorder="1" applyAlignment="1">
      <alignment horizontal="left" indent="1"/>
    </xf>
    <xf numFmtId="0" fontId="0" fillId="0" borderId="22" xfId="0" applyBorder="1" applyAlignment="1">
      <alignment horizontal="left" indent="1"/>
    </xf>
    <xf numFmtId="0" fontId="20" fillId="0" borderId="19" xfId="0" applyFont="1" applyBorder="1" applyAlignment="1">
      <alignment horizontal="center"/>
    </xf>
    <xf numFmtId="0" fontId="21" fillId="0" borderId="15" xfId="0" applyFont="1" applyBorder="1"/>
    <xf numFmtId="0" fontId="20" fillId="0" borderId="0" xfId="0" applyFont="1" applyBorder="1" applyAlignment="1">
      <alignment horizontal="center"/>
    </xf>
    <xf numFmtId="0" fontId="20" fillId="0" borderId="16" xfId="0" applyFont="1" applyBorder="1"/>
    <xf numFmtId="0" fontId="20" fillId="0" borderId="22" xfId="0" applyFont="1" applyBorder="1" applyAlignment="1">
      <alignment horizontal="center"/>
    </xf>
    <xf numFmtId="0" fontId="20" fillId="0" borderId="17" xfId="0" applyFont="1" applyBorder="1"/>
    <xf numFmtId="0" fontId="22" fillId="12" borderId="9" xfId="0" applyFont="1" applyFill="1" applyBorder="1"/>
    <xf numFmtId="0" fontId="23" fillId="12" borderId="15" xfId="0" applyFont="1" applyFill="1" applyBorder="1"/>
    <xf numFmtId="0" fontId="24" fillId="0" borderId="0" xfId="0" applyFont="1"/>
    <xf numFmtId="0" fontId="22" fillId="12" borderId="10" xfId="0" applyFont="1" applyFill="1" applyBorder="1" applyAlignment="1">
      <alignment vertical="center"/>
    </xf>
    <xf numFmtId="0" fontId="22" fillId="12" borderId="18" xfId="0" applyFont="1" applyFill="1" applyBorder="1" applyAlignment="1">
      <alignment horizontal="center"/>
    </xf>
    <xf numFmtId="0" fontId="22" fillId="12" borderId="11" xfId="0" applyFont="1" applyFill="1" applyBorder="1" applyAlignment="1">
      <alignment horizontal="center"/>
    </xf>
    <xf numFmtId="0" fontId="20" fillId="0" borderId="15" xfId="0" applyFont="1" applyBorder="1"/>
    <xf numFmtId="0" fontId="26" fillId="0" borderId="16" xfId="0" applyFont="1" applyBorder="1"/>
    <xf numFmtId="0" fontId="19" fillId="0" borderId="21" xfId="0" applyFont="1" applyBorder="1" applyAlignment="1">
      <alignment horizontal="left" indent="1"/>
    </xf>
    <xf numFmtId="0" fontId="23" fillId="12" borderId="0" xfId="0" applyFont="1" applyFill="1" applyAlignment="1">
      <alignment horizontal="left" indent="2"/>
    </xf>
    <xf numFmtId="0" fontId="23" fillId="12" borderId="18" xfId="0" applyFont="1" applyFill="1" applyBorder="1" applyAlignment="1">
      <alignment horizontal="left" indent="2"/>
    </xf>
    <xf numFmtId="0" fontId="22" fillId="12" borderId="10" xfId="0" applyFont="1" applyFill="1" applyBorder="1" applyAlignment="1">
      <alignment horizontal="left" indent="2"/>
    </xf>
    <xf numFmtId="0" fontId="22" fillId="12" borderId="20" xfId="0" applyFont="1" applyFill="1" applyBorder="1" applyAlignment="1">
      <alignment horizontal="left" indent="2"/>
    </xf>
    <xf numFmtId="0" fontId="19" fillId="0" borderId="18" xfId="0" applyFont="1" applyBorder="1" applyAlignment="1">
      <alignment horizontal="left" indent="1"/>
    </xf>
    <xf numFmtId="0" fontId="20" fillId="0" borderId="23" xfId="0" applyFont="1" applyBorder="1" applyAlignment="1">
      <alignment horizontal="left" indent="1"/>
    </xf>
    <xf numFmtId="0" fontId="20" fillId="0" borderId="19" xfId="0" applyFont="1" applyBorder="1" applyAlignment="1">
      <alignment horizontal="left" indent="1"/>
    </xf>
    <xf numFmtId="0" fontId="21" fillId="0" borderId="19" xfId="0" applyFont="1" applyBorder="1" applyAlignment="1">
      <alignment horizontal="left" indent="1"/>
    </xf>
    <xf numFmtId="0" fontId="19" fillId="0" borderId="20" xfId="0" applyFont="1" applyBorder="1" applyAlignment="1">
      <alignment horizontal="left" indent="1"/>
    </xf>
    <xf numFmtId="0" fontId="21" fillId="0" borderId="0" xfId="0" applyFont="1" applyBorder="1" applyAlignment="1">
      <alignment horizontal="left" indent="1"/>
    </xf>
    <xf numFmtId="0" fontId="20" fillId="0" borderId="0" xfId="0" applyFont="1" applyBorder="1" applyAlignment="1">
      <alignment horizontal="left" indent="1"/>
    </xf>
    <xf numFmtId="0" fontId="21" fillId="0" borderId="22" xfId="0" applyFont="1" applyBorder="1" applyAlignment="1">
      <alignment horizontal="left" indent="1"/>
    </xf>
    <xf numFmtId="0" fontId="20" fillId="0" borderId="22" xfId="0" applyFont="1" applyBorder="1" applyAlignment="1">
      <alignment horizontal="left" indent="1"/>
    </xf>
    <xf numFmtId="0" fontId="27" fillId="0" borderId="20" xfId="0" applyFont="1" applyBorder="1" applyAlignment="1">
      <alignment horizontal="left" indent="1"/>
    </xf>
    <xf numFmtId="0" fontId="19" fillId="0" borderId="21" xfId="0" applyFont="1" applyBorder="1" applyAlignment="1">
      <alignment horizontal="left" indent="2"/>
    </xf>
    <xf numFmtId="0" fontId="20" fillId="0" borderId="20" xfId="0" applyFont="1" applyBorder="1" applyAlignment="1">
      <alignment horizontal="left" indent="1"/>
    </xf>
    <xf numFmtId="0" fontId="20" fillId="0" borderId="21" xfId="0" applyFont="1" applyBorder="1" applyAlignment="1">
      <alignment horizontal="left" indent="1"/>
    </xf>
    <xf numFmtId="0" fontId="20" fillId="0" borderId="18" xfId="0" applyFont="1" applyBorder="1" applyAlignment="1">
      <alignment horizontal="left" indent="1"/>
    </xf>
    <xf numFmtId="0" fontId="0" fillId="0" borderId="1" xfId="0" applyBorder="1" applyAlignment="1">
      <alignment horizontal="left" indent="1"/>
    </xf>
    <xf numFmtId="0" fontId="0" fillId="0" borderId="2" xfId="0" applyBorder="1" applyAlignment="1">
      <alignment horizontal="left" indent="1"/>
    </xf>
    <xf numFmtId="0" fontId="0" fillId="0" borderId="4" xfId="0" applyBorder="1" applyAlignment="1">
      <alignment horizontal="left" indent="1"/>
    </xf>
    <xf numFmtId="0" fontId="0" fillId="0" borderId="6" xfId="0" applyBorder="1" applyAlignment="1">
      <alignment horizontal="left" indent="1"/>
    </xf>
    <xf numFmtId="0" fontId="0" fillId="0" borderId="7" xfId="0" applyBorder="1" applyAlignment="1">
      <alignment horizontal="left" indent="1"/>
    </xf>
    <xf numFmtId="0" fontId="0" fillId="0" borderId="1" xfId="0" applyBorder="1" applyAlignment="1">
      <alignment horizontal="left" wrapText="1" indent="1"/>
    </xf>
    <xf numFmtId="0" fontId="23" fillId="12" borderId="0" xfId="0" applyFont="1" applyFill="1" applyAlignment="1">
      <alignment horizontal="center"/>
    </xf>
    <xf numFmtId="0" fontId="0" fillId="5" borderId="9" xfId="0" applyFill="1" applyBorder="1" applyAlignment="1">
      <alignment horizontal="left" indent="1"/>
    </xf>
    <xf numFmtId="0" fontId="28" fillId="0" borderId="20" xfId="0" applyFont="1" applyBorder="1" applyAlignment="1">
      <alignment horizontal="left" indent="1"/>
    </xf>
    <xf numFmtId="0" fontId="28" fillId="0" borderId="21" xfId="0" applyFont="1" applyBorder="1" applyAlignment="1">
      <alignment horizontal="left" indent="1"/>
    </xf>
    <xf numFmtId="0" fontId="28" fillId="0" borderId="16" xfId="0" applyFont="1" applyBorder="1" applyAlignment="1">
      <alignment horizontal="left" indent="1"/>
    </xf>
    <xf numFmtId="0" fontId="29" fillId="0" borderId="18" xfId="0" applyFont="1" applyBorder="1" applyAlignment="1">
      <alignment horizontal="left" indent="1"/>
    </xf>
    <xf numFmtId="0" fontId="29" fillId="0" borderId="20" xfId="0" applyFont="1" applyBorder="1" applyAlignment="1">
      <alignment horizontal="left" indent="1"/>
    </xf>
    <xf numFmtId="0" fontId="28" fillId="0" borderId="11" xfId="0" applyFont="1" applyBorder="1" applyAlignment="1">
      <alignment horizontal="left" indent="1"/>
    </xf>
    <xf numFmtId="0" fontId="28" fillId="0" borderId="12" xfId="0" applyFont="1" applyBorder="1" applyAlignment="1">
      <alignment horizontal="left" indent="1"/>
    </xf>
    <xf numFmtId="0" fontId="28" fillId="0" borderId="15" xfId="0" applyFont="1" applyBorder="1" applyAlignment="1">
      <alignment horizontal="left" indent="1"/>
    </xf>
    <xf numFmtId="0" fontId="29" fillId="0" borderId="21" xfId="0" applyFont="1" applyBorder="1" applyAlignment="1">
      <alignment horizontal="left" indent="1"/>
    </xf>
    <xf numFmtId="0" fontId="28" fillId="0" borderId="17" xfId="0" applyFont="1" applyBorder="1" applyAlignment="1">
      <alignment horizontal="left" indent="1"/>
    </xf>
    <xf numFmtId="0" fontId="30" fillId="0" borderId="0" xfId="0" applyFont="1"/>
    <xf numFmtId="0" fontId="31" fillId="0" borderId="0" xfId="0" applyFont="1"/>
    <xf numFmtId="0" fontId="22" fillId="13" borderId="9" xfId="0" applyFont="1" applyFill="1" applyBorder="1"/>
    <xf numFmtId="0" fontId="23" fillId="13" borderId="0" xfId="0" applyFont="1" applyFill="1" applyAlignment="1">
      <alignment horizontal="center"/>
    </xf>
    <xf numFmtId="0" fontId="23" fillId="13" borderId="18" xfId="0" applyFont="1" applyFill="1" applyBorder="1" applyAlignment="1">
      <alignment horizontal="left" indent="2"/>
    </xf>
    <xf numFmtId="0" fontId="23" fillId="13" borderId="15" xfId="0" applyFont="1" applyFill="1" applyBorder="1"/>
    <xf numFmtId="0" fontId="22" fillId="13" borderId="10" xfId="0" applyFont="1" applyFill="1" applyBorder="1" applyAlignment="1">
      <alignment horizontal="left" indent="2"/>
    </xf>
    <xf numFmtId="0" fontId="22" fillId="13" borderId="18" xfId="0" applyFont="1" applyFill="1" applyBorder="1" applyAlignment="1">
      <alignment horizontal="center"/>
    </xf>
    <xf numFmtId="0" fontId="22" fillId="13" borderId="20" xfId="0" applyFont="1" applyFill="1" applyBorder="1" applyAlignment="1">
      <alignment horizontal="left" indent="2"/>
    </xf>
    <xf numFmtId="0" fontId="22" fillId="13" borderId="11" xfId="0" applyFont="1" applyFill="1" applyBorder="1" applyAlignment="1">
      <alignment horizontal="center"/>
    </xf>
    <xf numFmtId="0" fontId="12" fillId="13" borderId="9" xfId="0" applyFont="1" applyFill="1" applyBorder="1"/>
    <xf numFmtId="0" fontId="12" fillId="13" borderId="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/>
    <xf numFmtId="0" fontId="14" fillId="0" borderId="0" xfId="0" applyFont="1" applyFill="1" applyBorder="1"/>
    <xf numFmtId="0" fontId="14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4" fillId="8" borderId="14" xfId="0" applyFont="1" applyFill="1" applyBorder="1" applyAlignment="1">
      <alignment horizontal="center"/>
    </xf>
    <xf numFmtId="0" fontId="13" fillId="8" borderId="14" xfId="0" applyFont="1" applyFill="1" applyBorder="1" applyAlignment="1">
      <alignment horizontal="center"/>
    </xf>
    <xf numFmtId="0" fontId="0" fillId="0" borderId="24" xfId="0" applyBorder="1" applyAlignment="1">
      <alignment horizontal="left" indent="1"/>
    </xf>
    <xf numFmtId="0" fontId="14" fillId="8" borderId="9" xfId="0" applyFont="1" applyFill="1" applyBorder="1"/>
    <xf numFmtId="0" fontId="0" fillId="0" borderId="9" xfId="0" applyFill="1" applyBorder="1" applyAlignment="1">
      <alignment horizontal="left" indent="1"/>
    </xf>
    <xf numFmtId="0" fontId="1" fillId="3" borderId="13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0" fillId="5" borderId="0" xfId="0" applyFill="1" applyBorder="1" applyAlignment="1">
      <alignment horizontal="left" indent="1"/>
    </xf>
    <xf numFmtId="0" fontId="14" fillId="0" borderId="0" xfId="0" applyFont="1" applyFill="1"/>
    <xf numFmtId="0" fontId="14" fillId="8" borderId="13" xfId="0" applyFont="1" applyFill="1" applyBorder="1" applyAlignment="1">
      <alignment horizontal="center"/>
    </xf>
    <xf numFmtId="0" fontId="0" fillId="0" borderId="15" xfId="0" applyBorder="1" applyAlignment="1">
      <alignment horizontal="left" indent="1"/>
    </xf>
    <xf numFmtId="0" fontId="1" fillId="3" borderId="9" xfId="0" applyFont="1" applyFill="1" applyBorder="1" applyAlignment="1">
      <alignment horizontal="left" indent="1"/>
    </xf>
    <xf numFmtId="0" fontId="0" fillId="0" borderId="9" xfId="0" applyBorder="1" applyAlignment="1">
      <alignment horizontal="left" vertical="center" wrapText="1" indent="1"/>
    </xf>
    <xf numFmtId="0" fontId="0" fillId="0" borderId="0" xfId="0" applyBorder="1" applyAlignment="1">
      <alignment horizontal="left" vertical="center" wrapText="1" indent="1"/>
    </xf>
    <xf numFmtId="0" fontId="0" fillId="0" borderId="0" xfId="0" applyBorder="1" applyAlignment="1">
      <alignment horizontal="left" vertical="center" indent="1"/>
    </xf>
    <xf numFmtId="0" fontId="28" fillId="0" borderId="0" xfId="0" applyFont="1" applyFill="1" applyBorder="1" applyAlignment="1">
      <alignment horizontal="center"/>
    </xf>
    <xf numFmtId="0" fontId="28" fillId="0" borderId="0" xfId="0" applyFont="1" applyFill="1" applyBorder="1"/>
    <xf numFmtId="0" fontId="28" fillId="0" borderId="0" xfId="0" applyFont="1" applyFill="1" applyBorder="1" applyAlignment="1">
      <alignment horizontal="left" indent="1"/>
    </xf>
    <xf numFmtId="0" fontId="0" fillId="0" borderId="0" xfId="0" applyFill="1" applyAlignment="1">
      <alignment horizontal="left" indent="1"/>
    </xf>
    <xf numFmtId="0" fontId="13" fillId="0" borderId="0" xfId="0" applyFont="1" applyFill="1" applyBorder="1" applyAlignment="1">
      <alignment horizontal="left" indent="1"/>
    </xf>
    <xf numFmtId="0" fontId="14" fillId="8" borderId="10" xfId="0" applyFont="1" applyFill="1" applyBorder="1" applyAlignment="1">
      <alignment horizontal="left" indent="1"/>
    </xf>
    <xf numFmtId="0" fontId="28" fillId="0" borderId="10" xfId="0" applyFont="1" applyBorder="1" applyAlignment="1">
      <alignment horizontal="left" indent="1"/>
    </xf>
    <xf numFmtId="0" fontId="14" fillId="8" borderId="10" xfId="0" applyFont="1" applyFill="1" applyBorder="1"/>
    <xf numFmtId="0" fontId="28" fillId="0" borderId="10" xfId="0" applyFont="1" applyBorder="1" applyAlignment="1">
      <alignment horizontal="center"/>
    </xf>
    <xf numFmtId="0" fontId="28" fillId="0" borderId="11" xfId="0" applyFont="1" applyBorder="1" applyAlignment="1">
      <alignment horizontal="center"/>
    </xf>
    <xf numFmtId="0" fontId="28" fillId="0" borderId="12" xfId="0" applyFont="1" applyBorder="1" applyAlignment="1">
      <alignment horizontal="center"/>
    </xf>
    <xf numFmtId="0" fontId="28" fillId="6" borderId="10" xfId="0" applyFont="1" applyFill="1" applyBorder="1"/>
    <xf numFmtId="0" fontId="28" fillId="6" borderId="11" xfId="0" applyFont="1" applyFill="1" applyBorder="1"/>
    <xf numFmtId="0" fontId="13" fillId="8" borderId="17" xfId="0" applyFont="1" applyFill="1" applyBorder="1" applyAlignment="1">
      <alignment horizontal="center"/>
    </xf>
    <xf numFmtId="0" fontId="17" fillId="0" borderId="15" xfId="0" applyFont="1" applyBorder="1" applyAlignment="1">
      <alignment wrapText="1"/>
    </xf>
    <xf numFmtId="0" fontId="0" fillId="0" borderId="10" xfId="0" applyBorder="1" applyAlignment="1">
      <alignment horizontal="left" indent="1"/>
    </xf>
    <xf numFmtId="0" fontId="13" fillId="8" borderId="12" xfId="0" applyFont="1" applyFill="1" applyBorder="1" applyAlignment="1">
      <alignment horizontal="left" indent="1"/>
    </xf>
    <xf numFmtId="0" fontId="28" fillId="0" borderId="11" xfId="0" applyFont="1" applyFill="1" applyBorder="1" applyAlignment="1">
      <alignment horizontal="left" indent="1"/>
    </xf>
    <xf numFmtId="0" fontId="28" fillId="0" borderId="10" xfId="0" applyFont="1" applyBorder="1" applyAlignment="1">
      <alignment horizontal="left" wrapText="1" indent="1"/>
    </xf>
    <xf numFmtId="0" fontId="14" fillId="8" borderId="18" xfId="0" applyFont="1" applyFill="1" applyBorder="1" applyAlignment="1">
      <alignment horizontal="center"/>
    </xf>
    <xf numFmtId="0" fontId="0" fillId="0" borderId="16" xfId="0" applyBorder="1"/>
    <xf numFmtId="0" fontId="23" fillId="0" borderId="0" xfId="0" applyFont="1" applyFill="1" applyAlignment="1">
      <alignment horizontal="center"/>
    </xf>
    <xf numFmtId="0" fontId="22" fillId="0" borderId="20" xfId="0" applyFont="1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23" fillId="0" borderId="0" xfId="0" applyFont="1" applyFill="1" applyBorder="1" applyAlignment="1">
      <alignment horizontal="left" indent="1"/>
    </xf>
    <xf numFmtId="0" fontId="22" fillId="0" borderId="0" xfId="0" applyFont="1" applyFill="1" applyBorder="1" applyAlignment="1">
      <alignment horizontal="left" indent="1"/>
    </xf>
    <xf numFmtId="0" fontId="22" fillId="0" borderId="10" xfId="0" applyFont="1" applyFill="1" applyBorder="1" applyAlignment="1">
      <alignment horizontal="left" indent="2"/>
    </xf>
    <xf numFmtId="0" fontId="0" fillId="0" borderId="19" xfId="0" applyFill="1" applyBorder="1"/>
    <xf numFmtId="0" fontId="0" fillId="0" borderId="22" xfId="0" applyFill="1" applyBorder="1"/>
    <xf numFmtId="0" fontId="0" fillId="0" borderId="24" xfId="0" applyBorder="1"/>
    <xf numFmtId="0" fontId="0" fillId="0" borderId="24" xfId="0" applyFill="1" applyBorder="1"/>
    <xf numFmtId="0" fontId="0" fillId="0" borderId="13" xfId="0" applyBorder="1"/>
    <xf numFmtId="0" fontId="0" fillId="0" borderId="19" xfId="0" applyBorder="1" applyAlignment="1">
      <alignment wrapText="1"/>
    </xf>
    <xf numFmtId="0" fontId="0" fillId="0" borderId="19" xfId="0" applyFill="1" applyBorder="1" applyAlignment="1">
      <alignment wrapText="1"/>
    </xf>
    <xf numFmtId="0" fontId="0" fillId="0" borderId="15" xfId="0" applyFill="1" applyBorder="1"/>
    <xf numFmtId="0" fontId="0" fillId="0" borderId="17" xfId="0" applyFill="1" applyBorder="1"/>
    <xf numFmtId="0" fontId="0" fillId="0" borderId="0" xfId="0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15" xfId="0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23" fillId="13" borderId="0" xfId="0" applyFont="1" applyFill="1" applyAlignment="1">
      <alignment horizontal="left" indent="3"/>
    </xf>
    <xf numFmtId="0" fontId="22" fillId="13" borderId="10" xfId="0" applyFont="1" applyFill="1" applyBorder="1" applyAlignment="1">
      <alignment horizontal="left" indent="3"/>
    </xf>
    <xf numFmtId="0" fontId="0" fillId="0" borderId="16" xfId="0" applyFill="1" applyBorder="1"/>
    <xf numFmtId="0" fontId="0" fillId="6" borderId="19" xfId="0" applyFill="1" applyBorder="1" applyAlignment="1">
      <alignment horizontal="left" indent="1"/>
    </xf>
    <xf numFmtId="0" fontId="0" fillId="6" borderId="0" xfId="0" applyFill="1" applyBorder="1" applyAlignment="1">
      <alignment horizontal="left" indent="1"/>
    </xf>
    <xf numFmtId="0" fontId="0" fillId="6" borderId="22" xfId="0" applyFill="1" applyBorder="1" applyAlignment="1">
      <alignment horizontal="left" indent="1"/>
    </xf>
    <xf numFmtId="0" fontId="0" fillId="6" borderId="0" xfId="0" applyFill="1" applyBorder="1" applyAlignment="1">
      <alignment horizontal="center"/>
    </xf>
    <xf numFmtId="0" fontId="21" fillId="0" borderId="19" xfId="0" applyFont="1" applyFill="1" applyBorder="1" applyAlignment="1">
      <alignment horizontal="left" indent="1"/>
    </xf>
    <xf numFmtId="0" fontId="21" fillId="0" borderId="0" xfId="0" applyFont="1" applyFill="1" applyBorder="1" applyAlignment="1">
      <alignment horizontal="left" indent="1"/>
    </xf>
    <xf numFmtId="0" fontId="21" fillId="0" borderId="22" xfId="0" applyFont="1" applyFill="1" applyBorder="1" applyAlignment="1">
      <alignment horizontal="left" indent="1"/>
    </xf>
    <xf numFmtId="0" fontId="20" fillId="0" borderId="19" xfId="0" applyFont="1" applyFill="1" applyBorder="1" applyAlignment="1">
      <alignment horizontal="left" indent="1"/>
    </xf>
    <xf numFmtId="0" fontId="20" fillId="0" borderId="0" xfId="0" applyFont="1" applyFill="1" applyBorder="1" applyAlignment="1">
      <alignment horizontal="left" indent="1"/>
    </xf>
    <xf numFmtId="0" fontId="20" fillId="0" borderId="19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0" fontId="20" fillId="0" borderId="22" xfId="0" applyFont="1" applyFill="1" applyBorder="1" applyAlignment="1">
      <alignment horizontal="center"/>
    </xf>
    <xf numFmtId="0" fontId="1" fillId="7" borderId="0" xfId="0" applyFont="1" applyFill="1"/>
    <xf numFmtId="15" fontId="1" fillId="7" borderId="0" xfId="0" applyNumberFormat="1" applyFont="1" applyFill="1"/>
    <xf numFmtId="0" fontId="1" fillId="3" borderId="10" xfId="0" applyFont="1" applyFill="1" applyBorder="1" applyAlignment="1">
      <alignment horizontal="center"/>
    </xf>
    <xf numFmtId="0" fontId="33" fillId="3" borderId="9" xfId="0" applyFont="1" applyFill="1" applyBorder="1" applyAlignment="1">
      <alignment horizontal="center" vertical="top" textRotation="90"/>
    </xf>
    <xf numFmtId="0" fontId="13" fillId="7" borderId="9" xfId="0" applyFont="1" applyFill="1" applyBorder="1" applyAlignment="1">
      <alignment horizontal="center"/>
    </xf>
    <xf numFmtId="0" fontId="14" fillId="7" borderId="9" xfId="0" applyFont="1" applyFill="1" applyBorder="1" applyAlignment="1">
      <alignment horizontal="center" vertical="center"/>
    </xf>
    <xf numFmtId="0" fontId="32" fillId="7" borderId="19" xfId="0" applyFont="1" applyFill="1" applyBorder="1" applyAlignment="1">
      <alignment horizontal="center" vertical="top" textRotation="90"/>
    </xf>
    <xf numFmtId="0" fontId="32" fillId="7" borderId="0" xfId="0" applyFont="1" applyFill="1" applyBorder="1" applyAlignment="1">
      <alignment horizontal="center" vertical="top" textRotation="90"/>
    </xf>
    <xf numFmtId="0" fontId="13" fillId="8" borderId="10" xfId="0" applyFont="1" applyFill="1" applyBorder="1" applyAlignment="1">
      <alignment horizontal="center"/>
    </xf>
    <xf numFmtId="0" fontId="32" fillId="8" borderId="9" xfId="0" applyFont="1" applyFill="1" applyBorder="1" applyAlignment="1">
      <alignment horizontal="center" vertical="top" textRotation="90" wrapText="1"/>
    </xf>
    <xf numFmtId="0" fontId="0" fillId="0" borderId="14" xfId="0" applyBorder="1" applyAlignment="1">
      <alignment horizontal="center" vertical="center"/>
    </xf>
    <xf numFmtId="0" fontId="32" fillId="8" borderId="19" xfId="0" applyFont="1" applyFill="1" applyBorder="1" applyAlignment="1">
      <alignment horizontal="center" vertical="top" textRotation="90"/>
    </xf>
    <xf numFmtId="0" fontId="32" fillId="8" borderId="0" xfId="0" applyFont="1" applyFill="1" applyBorder="1" applyAlignment="1">
      <alignment horizontal="center" vertical="top" textRotation="90"/>
    </xf>
    <xf numFmtId="0" fontId="0" fillId="0" borderId="9" xfId="0" applyBorder="1" applyAlignment="1">
      <alignment horizontal="center" vertical="center"/>
    </xf>
    <xf numFmtId="0" fontId="32" fillId="8" borderId="9" xfId="0" applyFont="1" applyFill="1" applyBorder="1" applyAlignment="1">
      <alignment horizontal="center" vertical="top" textRotation="90"/>
    </xf>
    <xf numFmtId="0" fontId="32" fillId="8" borderId="10" xfId="0" applyFont="1" applyFill="1" applyBorder="1" applyAlignment="1">
      <alignment horizontal="center" vertical="top" textRotation="90"/>
    </xf>
    <xf numFmtId="0" fontId="32" fillId="8" borderId="11" xfId="0" applyFont="1" applyFill="1" applyBorder="1" applyAlignment="1">
      <alignment horizontal="center" vertical="top" textRotation="90"/>
    </xf>
    <xf numFmtId="0" fontId="32" fillId="8" borderId="12" xfId="0" applyFont="1" applyFill="1" applyBorder="1" applyAlignment="1">
      <alignment horizontal="center" vertical="top" textRotation="90"/>
    </xf>
    <xf numFmtId="0" fontId="16" fillId="0" borderId="15" xfId="0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center" vertical="center"/>
    </xf>
    <xf numFmtId="0" fontId="16" fillId="0" borderId="17" xfId="0" applyFont="1" applyFill="1" applyBorder="1" applyAlignment="1">
      <alignment horizontal="center" vertical="center"/>
    </xf>
    <xf numFmtId="0" fontId="22" fillId="12" borderId="10" xfId="0" applyFont="1" applyFill="1" applyBorder="1" applyAlignment="1">
      <alignment horizontal="left" indent="1"/>
    </xf>
    <xf numFmtId="0" fontId="22" fillId="13" borderId="10" xfId="0" applyFont="1" applyFill="1" applyBorder="1" applyAlignment="1">
      <alignment horizontal="left" indent="1"/>
    </xf>
    <xf numFmtId="0" fontId="34" fillId="13" borderId="15" xfId="0" applyFont="1" applyFill="1" applyBorder="1" applyAlignment="1">
      <alignment horizontal="center" vertical="top" textRotation="90"/>
    </xf>
    <xf numFmtId="0" fontId="34" fillId="13" borderId="16" xfId="0" applyFont="1" applyFill="1" applyBorder="1" applyAlignment="1">
      <alignment horizontal="center" vertical="top" textRotation="90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21" fillId="0" borderId="18" xfId="0" applyFont="1" applyBorder="1" applyAlignment="1">
      <alignment horizontal="left" indent="1"/>
    </xf>
    <xf numFmtId="0" fontId="21" fillId="0" borderId="20" xfId="0" applyFont="1" applyBorder="1" applyAlignment="1">
      <alignment horizontal="left" indent="1"/>
    </xf>
    <xf numFmtId="0" fontId="21" fillId="0" borderId="16" xfId="0" applyFont="1" applyBorder="1"/>
    <xf numFmtId="0" fontId="21" fillId="0" borderId="21" xfId="0" applyFont="1" applyBorder="1" applyAlignment="1">
      <alignment horizontal="left" indent="1"/>
    </xf>
    <xf numFmtId="0" fontId="21" fillId="0" borderId="17" xfId="0" applyFont="1" applyBorder="1"/>
    <xf numFmtId="0" fontId="21" fillId="0" borderId="19" xfId="0" applyFont="1" applyBorder="1" applyAlignment="1">
      <alignment horizontal="center"/>
    </xf>
    <xf numFmtId="0" fontId="21" fillId="0" borderId="19" xfId="0" applyFont="1" applyFill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22" xfId="0" applyFont="1" applyFill="1" applyBorder="1" applyAlignment="1">
      <alignment horizontal="center"/>
    </xf>
    <xf numFmtId="0" fontId="21" fillId="5" borderId="15" xfId="0" applyFont="1" applyFill="1" applyBorder="1"/>
    <xf numFmtId="0" fontId="21" fillId="5" borderId="1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57284</xdr:colOff>
      <xdr:row>0</xdr:row>
      <xdr:rowOff>86264</xdr:rowOff>
    </xdr:from>
    <xdr:to>
      <xdr:col>18</xdr:col>
      <xdr:colOff>104549</xdr:colOff>
      <xdr:row>26</xdr:row>
      <xdr:rowOff>8625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5A6E40-D110-439A-AB1D-08AC58DBB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6393" y="86264"/>
          <a:ext cx="6258284" cy="4632384"/>
        </a:xfrm>
        <a:prstGeom prst="rect">
          <a:avLst/>
        </a:prstGeom>
      </xdr:spPr>
    </xdr:pic>
    <xdr:clientData/>
  </xdr:twoCellAnchor>
  <xdr:twoCellAnchor>
    <xdr:from>
      <xdr:col>2</xdr:col>
      <xdr:colOff>888521</xdr:colOff>
      <xdr:row>5</xdr:row>
      <xdr:rowOff>112143</xdr:rowOff>
    </xdr:from>
    <xdr:to>
      <xdr:col>13</xdr:col>
      <xdr:colOff>353683</xdr:colOff>
      <xdr:row>9</xdr:row>
      <xdr:rowOff>86265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215DBF96-5A15-4957-9C70-66000BEBE1D2}"/>
            </a:ext>
          </a:extLst>
        </xdr:cNvPr>
        <xdr:cNvCxnSpPr/>
      </xdr:nvCxnSpPr>
      <xdr:spPr>
        <a:xfrm flipH="1">
          <a:off x="2432649" y="1017917"/>
          <a:ext cx="10075653" cy="69874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1000665</xdr:colOff>
      <xdr:row>6</xdr:row>
      <xdr:rowOff>120770</xdr:rowOff>
    </xdr:from>
    <xdr:to>
      <xdr:col>14</xdr:col>
      <xdr:colOff>414068</xdr:colOff>
      <xdr:row>10</xdr:row>
      <xdr:rowOff>94891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EF4069D5-BF92-4305-9312-305EB4CDAD05}"/>
            </a:ext>
          </a:extLst>
        </xdr:cNvPr>
        <xdr:cNvCxnSpPr/>
      </xdr:nvCxnSpPr>
      <xdr:spPr>
        <a:xfrm flipH="1">
          <a:off x="3588590" y="1207698"/>
          <a:ext cx="9601199" cy="69874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1431985</xdr:colOff>
      <xdr:row>6</xdr:row>
      <xdr:rowOff>155276</xdr:rowOff>
    </xdr:from>
    <xdr:to>
      <xdr:col>15</xdr:col>
      <xdr:colOff>457200</xdr:colOff>
      <xdr:row>10</xdr:row>
      <xdr:rowOff>77638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75FFB1B9-C3AC-44FA-BB1D-935D3C9449DF}"/>
            </a:ext>
          </a:extLst>
        </xdr:cNvPr>
        <xdr:cNvCxnSpPr/>
      </xdr:nvCxnSpPr>
      <xdr:spPr>
        <a:xfrm flipH="1">
          <a:off x="5382883" y="1242204"/>
          <a:ext cx="8471140" cy="646981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1406106</xdr:colOff>
      <xdr:row>12</xdr:row>
      <xdr:rowOff>60385</xdr:rowOff>
    </xdr:from>
    <xdr:to>
      <xdr:col>9</xdr:col>
      <xdr:colOff>20297</xdr:colOff>
      <xdr:row>15</xdr:row>
      <xdr:rowOff>50744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C41EAE47-6D07-4484-B8E1-6186DABC99C4}"/>
            </a:ext>
          </a:extLst>
        </xdr:cNvPr>
        <xdr:cNvCxnSpPr/>
      </xdr:nvCxnSpPr>
      <xdr:spPr>
        <a:xfrm flipH="1" flipV="1">
          <a:off x="7028499" y="2252510"/>
          <a:ext cx="2653383" cy="538389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1004725</xdr:colOff>
      <xdr:row>10</xdr:row>
      <xdr:rowOff>121785</xdr:rowOff>
    </xdr:from>
    <xdr:to>
      <xdr:col>9</xdr:col>
      <xdr:colOff>40595</xdr:colOff>
      <xdr:row>16</xdr:row>
      <xdr:rowOff>162379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1AABD709-7502-4B39-A033-FF7FAEF6C334}"/>
            </a:ext>
          </a:extLst>
        </xdr:cNvPr>
        <xdr:cNvCxnSpPr/>
      </xdr:nvCxnSpPr>
      <xdr:spPr>
        <a:xfrm flipH="1" flipV="1">
          <a:off x="8301657" y="1948556"/>
          <a:ext cx="1400523" cy="1136656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99DC2-296C-478D-A201-17DCC018F1A9}">
  <dimension ref="B2:I25"/>
  <sheetViews>
    <sheetView tabSelected="1" zoomScaleNormal="100" workbookViewId="0">
      <selection activeCell="B3" sqref="B3:C3"/>
    </sheetView>
  </sheetViews>
  <sheetFormatPr defaultRowHeight="14.3" x14ac:dyDescent="0.25"/>
  <cols>
    <col min="2" max="2" width="13.375" bestFit="1" customWidth="1"/>
    <col min="3" max="3" width="15.125" customWidth="1"/>
    <col min="4" max="4" width="19.75" bestFit="1" customWidth="1"/>
    <col min="5" max="6" width="24.25" customWidth="1"/>
    <col min="7" max="7" width="16.375" customWidth="1"/>
  </cols>
  <sheetData>
    <row r="2" spans="2:9" x14ac:dyDescent="0.25">
      <c r="B2" s="1" t="s">
        <v>0</v>
      </c>
    </row>
    <row r="3" spans="2:9" x14ac:dyDescent="0.25">
      <c r="B3" s="230" t="s">
        <v>1323</v>
      </c>
      <c r="C3" s="231">
        <v>44061</v>
      </c>
    </row>
    <row r="10" spans="2:9" x14ac:dyDescent="0.25">
      <c r="C10" s="15" t="s">
        <v>1</v>
      </c>
      <c r="D10" s="232" t="s">
        <v>4</v>
      </c>
      <c r="E10" s="232"/>
    </row>
    <row r="11" spans="2:9" x14ac:dyDescent="0.25">
      <c r="C11" s="16"/>
      <c r="D11" s="17" t="s">
        <v>5</v>
      </c>
      <c r="E11" s="17" t="s">
        <v>6</v>
      </c>
      <c r="F11" s="17" t="s">
        <v>92</v>
      </c>
      <c r="G11" s="17" t="s">
        <v>93</v>
      </c>
    </row>
    <row r="12" spans="2:9" x14ac:dyDescent="0.25">
      <c r="C12" s="47" t="s">
        <v>2</v>
      </c>
      <c r="D12" s="48"/>
      <c r="E12" s="48"/>
      <c r="F12" s="48" t="s">
        <v>632</v>
      </c>
      <c r="G12" s="48" t="s">
        <v>632</v>
      </c>
    </row>
    <row r="13" spans="2:9" x14ac:dyDescent="0.25">
      <c r="C13" s="49" t="s">
        <v>3</v>
      </c>
      <c r="D13" s="50" t="s">
        <v>633</v>
      </c>
      <c r="E13" s="50" t="s">
        <v>633</v>
      </c>
      <c r="F13" s="50" t="s">
        <v>633</v>
      </c>
      <c r="G13" s="50" t="s">
        <v>633</v>
      </c>
    </row>
    <row r="14" spans="2:9" x14ac:dyDescent="0.25">
      <c r="C14" s="56" t="s">
        <v>8</v>
      </c>
      <c r="D14" s="57" t="s">
        <v>641</v>
      </c>
      <c r="E14" s="57" t="s">
        <v>641</v>
      </c>
      <c r="F14" s="57" t="s">
        <v>641</v>
      </c>
      <c r="G14" s="70" t="s">
        <v>641</v>
      </c>
      <c r="H14" s="37"/>
      <c r="I14" s="37"/>
    </row>
    <row r="15" spans="2:9" x14ac:dyDescent="0.25">
      <c r="C15" s="62" t="s">
        <v>94</v>
      </c>
      <c r="D15" s="63" t="s">
        <v>642</v>
      </c>
      <c r="E15" s="63" t="s">
        <v>642</v>
      </c>
      <c r="F15" s="63" t="s">
        <v>642</v>
      </c>
      <c r="G15" s="63" t="s">
        <v>642</v>
      </c>
    </row>
    <row r="16" spans="2:9" x14ac:dyDescent="0.25">
      <c r="C16" s="64" t="s">
        <v>10</v>
      </c>
      <c r="D16" s="65" t="s">
        <v>643</v>
      </c>
      <c r="E16" s="65" t="s">
        <v>643</v>
      </c>
      <c r="F16" s="65" t="s">
        <v>643</v>
      </c>
      <c r="G16" s="65" t="s">
        <v>643</v>
      </c>
    </row>
    <row r="17" spans="3:7" x14ac:dyDescent="0.25">
      <c r="C17" s="66" t="s">
        <v>16</v>
      </c>
      <c r="D17" s="67" t="s">
        <v>495</v>
      </c>
      <c r="E17" s="67"/>
      <c r="F17" s="67" t="s">
        <v>523</v>
      </c>
      <c r="G17" s="66"/>
    </row>
    <row r="18" spans="3:7" x14ac:dyDescent="0.25">
      <c r="C18" s="68" t="s">
        <v>17</v>
      </c>
      <c r="D18" s="69" t="s">
        <v>495</v>
      </c>
      <c r="E18" s="69"/>
      <c r="F18" s="69" t="s">
        <v>523</v>
      </c>
      <c r="G18" s="68"/>
    </row>
    <row r="19" spans="3:7" x14ac:dyDescent="0.25">
      <c r="C19" s="141" t="s">
        <v>1001</v>
      </c>
      <c r="D19" s="142" t="s">
        <v>497</v>
      </c>
      <c r="E19" s="142"/>
      <c r="F19" s="142" t="s">
        <v>523</v>
      </c>
      <c r="G19" s="141"/>
    </row>
    <row r="20" spans="3:7" x14ac:dyDescent="0.25">
      <c r="C20" s="16" t="s">
        <v>11</v>
      </c>
      <c r="D20" s="14" t="s">
        <v>7</v>
      </c>
      <c r="E20" s="14" t="s">
        <v>9</v>
      </c>
      <c r="F20" s="32" t="s">
        <v>522</v>
      </c>
      <c r="G20" s="13"/>
    </row>
    <row r="21" spans="3:7" x14ac:dyDescent="0.25">
      <c r="C21" s="16" t="s">
        <v>12</v>
      </c>
      <c r="D21" s="14" t="s">
        <v>14</v>
      </c>
      <c r="E21" s="14" t="s">
        <v>15</v>
      </c>
      <c r="F21" s="32" t="s">
        <v>522</v>
      </c>
      <c r="G21" s="13"/>
    </row>
    <row r="22" spans="3:7" x14ac:dyDescent="0.25">
      <c r="C22" s="16" t="s">
        <v>13</v>
      </c>
      <c r="D22" s="14"/>
      <c r="E22" s="14"/>
      <c r="F22" s="32" t="s">
        <v>522</v>
      </c>
      <c r="G22" s="13"/>
    </row>
    <row r="23" spans="3:7" x14ac:dyDescent="0.25">
      <c r="C23" s="16" t="s">
        <v>79</v>
      </c>
      <c r="D23" s="14" t="s">
        <v>14</v>
      </c>
      <c r="E23" s="13" t="s">
        <v>3</v>
      </c>
      <c r="F23" s="32" t="s">
        <v>522</v>
      </c>
      <c r="G23" s="13"/>
    </row>
    <row r="24" spans="3:7" x14ac:dyDescent="0.25">
      <c r="C24" s="16" t="s">
        <v>88</v>
      </c>
      <c r="D24" s="17" t="s">
        <v>506</v>
      </c>
      <c r="E24" s="17"/>
      <c r="F24" s="14" t="s">
        <v>523</v>
      </c>
      <c r="G24" s="13"/>
    </row>
    <row r="25" spans="3:7" x14ac:dyDescent="0.25">
      <c r="C25" s="16" t="s">
        <v>95</v>
      </c>
      <c r="D25" s="13"/>
      <c r="E25" s="13"/>
      <c r="F25" s="32" t="s">
        <v>522</v>
      </c>
      <c r="G25" s="13"/>
    </row>
  </sheetData>
  <mergeCells count="1">
    <mergeCell ref="D10:E10"/>
  </mergeCells>
  <phoneticPr fontId="2" type="noConversion"/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7B252-0C1A-4495-AE43-1544C06C9360}">
  <sheetPr>
    <tabColor theme="7" tint="0.79998168889431442"/>
  </sheetPr>
  <dimension ref="A2:J14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25" sqref="E25"/>
    </sheetView>
  </sheetViews>
  <sheetFormatPr defaultRowHeight="14.3" x14ac:dyDescent="0.25"/>
  <cols>
    <col min="1" max="3" width="30.625" customWidth="1"/>
    <col min="4" max="4" width="2.125" style="44" customWidth="1"/>
    <col min="5" max="5" width="30.625" customWidth="1"/>
    <col min="6" max="6" width="2.125" style="44" customWidth="1"/>
    <col min="7" max="7" width="30.625" customWidth="1"/>
    <col min="8" max="8" width="2.125" style="44" customWidth="1"/>
    <col min="9" max="10" width="30.625" style="18" customWidth="1"/>
  </cols>
  <sheetData>
    <row r="2" spans="1:10" x14ac:dyDescent="0.25">
      <c r="A2" s="15" t="s">
        <v>1</v>
      </c>
      <c r="B2" s="232" t="s">
        <v>4</v>
      </c>
      <c r="C2" s="232"/>
      <c r="D2" s="157"/>
      <c r="I2" s="77"/>
      <c r="J2" s="167"/>
    </row>
    <row r="3" spans="1:10" x14ac:dyDescent="0.25">
      <c r="A3" s="233" t="s">
        <v>2</v>
      </c>
      <c r="B3" s="25" t="s">
        <v>5</v>
      </c>
      <c r="C3" s="25" t="s">
        <v>6</v>
      </c>
      <c r="D3" s="158"/>
      <c r="E3" s="25" t="s">
        <v>629</v>
      </c>
      <c r="F3" s="45"/>
      <c r="G3" s="25" t="s">
        <v>630</v>
      </c>
      <c r="H3" s="157"/>
      <c r="I3" s="168" t="s">
        <v>645</v>
      </c>
      <c r="J3" s="168" t="s">
        <v>646</v>
      </c>
    </row>
    <row r="4" spans="1:10" ht="14.3" customHeight="1" x14ac:dyDescent="0.25">
      <c r="A4" s="233"/>
      <c r="B4" s="14" t="s">
        <v>1123</v>
      </c>
      <c r="C4" s="14" t="s">
        <v>1182</v>
      </c>
      <c r="D4" s="158"/>
      <c r="E4" s="30" t="s">
        <v>122</v>
      </c>
      <c r="F4" s="43"/>
      <c r="G4" s="14">
        <v>1</v>
      </c>
      <c r="H4" s="45"/>
      <c r="I4" s="30" t="s">
        <v>1067</v>
      </c>
      <c r="J4" s="169" t="s">
        <v>1241</v>
      </c>
    </row>
    <row r="5" spans="1:10" ht="14.3" customHeight="1" x14ac:dyDescent="0.25">
      <c r="A5" s="233"/>
      <c r="B5" s="14" t="s">
        <v>1124</v>
      </c>
      <c r="C5" s="14" t="s">
        <v>1183</v>
      </c>
      <c r="E5" s="30" t="s">
        <v>426</v>
      </c>
      <c r="F5" s="43"/>
      <c r="G5" s="14">
        <v>2</v>
      </c>
      <c r="H5" s="45"/>
      <c r="I5" s="30" t="s">
        <v>1068</v>
      </c>
      <c r="J5" s="169" t="s">
        <v>1242</v>
      </c>
    </row>
    <row r="6" spans="1:10" ht="14.3" customHeight="1" x14ac:dyDescent="0.25">
      <c r="A6" s="233"/>
      <c r="B6" s="14" t="s">
        <v>1125</v>
      </c>
      <c r="C6" s="14" t="s">
        <v>1184</v>
      </c>
      <c r="E6" s="30" t="s">
        <v>581</v>
      </c>
      <c r="F6" s="43"/>
      <c r="G6" s="14">
        <v>3</v>
      </c>
      <c r="H6" s="45"/>
      <c r="I6" s="30" t="s">
        <v>1069</v>
      </c>
      <c r="J6" s="169" t="s">
        <v>1243</v>
      </c>
    </row>
    <row r="7" spans="1:10" ht="14.3" customHeight="1" x14ac:dyDescent="0.25">
      <c r="A7" s="233"/>
      <c r="B7" s="14" t="s">
        <v>1126</v>
      </c>
      <c r="C7" s="14" t="s">
        <v>1185</v>
      </c>
      <c r="E7" s="30" t="s">
        <v>123</v>
      </c>
      <c r="F7" s="43"/>
      <c r="G7" s="14">
        <v>4</v>
      </c>
      <c r="H7" s="45"/>
      <c r="I7" s="30" t="s">
        <v>1070</v>
      </c>
      <c r="J7" s="169" t="s">
        <v>1244</v>
      </c>
    </row>
    <row r="8" spans="1:10" ht="14.3" customHeight="1" x14ac:dyDescent="0.25">
      <c r="A8" s="233"/>
      <c r="B8" s="14" t="s">
        <v>1127</v>
      </c>
      <c r="C8" s="14" t="s">
        <v>1186</v>
      </c>
      <c r="E8" s="30" t="s">
        <v>96</v>
      </c>
      <c r="F8" s="43"/>
      <c r="G8" s="14">
        <v>5</v>
      </c>
      <c r="H8" s="45"/>
      <c r="I8" s="30" t="s">
        <v>1071</v>
      </c>
      <c r="J8" s="169" t="s">
        <v>1245</v>
      </c>
    </row>
    <row r="9" spans="1:10" ht="14.3" customHeight="1" x14ac:dyDescent="0.25">
      <c r="A9" s="233"/>
      <c r="B9" s="14" t="s">
        <v>1128</v>
      </c>
      <c r="C9" s="14" t="s">
        <v>1187</v>
      </c>
      <c r="E9" s="30" t="s">
        <v>626</v>
      </c>
      <c r="F9" s="43"/>
      <c r="G9" s="14">
        <v>6</v>
      </c>
      <c r="H9" s="45"/>
      <c r="I9" s="30" t="s">
        <v>1072</v>
      </c>
      <c r="J9" s="169" t="s">
        <v>1246</v>
      </c>
    </row>
    <row r="10" spans="1:10" ht="14.3" customHeight="1" x14ac:dyDescent="0.25">
      <c r="A10" s="233"/>
      <c r="B10" s="14" t="s">
        <v>1129</v>
      </c>
      <c r="C10" s="14" t="s">
        <v>1188</v>
      </c>
      <c r="E10" s="30" t="s">
        <v>615</v>
      </c>
      <c r="F10" s="43"/>
      <c r="G10" s="14">
        <v>7</v>
      </c>
      <c r="H10" s="45"/>
      <c r="I10" s="30" t="s">
        <v>1073</v>
      </c>
      <c r="J10" s="169" t="s">
        <v>1247</v>
      </c>
    </row>
    <row r="11" spans="1:10" ht="14.3" customHeight="1" x14ac:dyDescent="0.25">
      <c r="A11" s="233"/>
      <c r="B11" s="14" t="s">
        <v>1130</v>
      </c>
      <c r="C11" s="14" t="s">
        <v>1189</v>
      </c>
      <c r="E11" s="30" t="s">
        <v>133</v>
      </c>
      <c r="F11" s="43"/>
      <c r="G11" s="14">
        <v>8</v>
      </c>
      <c r="H11" s="45"/>
      <c r="I11" s="30" t="s">
        <v>1074</v>
      </c>
      <c r="J11" s="169" t="s">
        <v>1248</v>
      </c>
    </row>
    <row r="12" spans="1:10" ht="14.3" customHeight="1" x14ac:dyDescent="0.25">
      <c r="A12" s="233"/>
      <c r="B12" s="14" t="s">
        <v>1131</v>
      </c>
      <c r="C12" s="14" t="s">
        <v>1190</v>
      </c>
      <c r="E12" s="30" t="s">
        <v>531</v>
      </c>
      <c r="F12" s="43"/>
      <c r="G12" s="14">
        <v>9</v>
      </c>
      <c r="H12" s="45"/>
      <c r="I12" s="30" t="s">
        <v>1075</v>
      </c>
      <c r="J12" s="169" t="s">
        <v>1249</v>
      </c>
    </row>
    <row r="13" spans="1:10" ht="14.3" customHeight="1" x14ac:dyDescent="0.25">
      <c r="A13" s="233"/>
      <c r="B13" s="14" t="s">
        <v>1132</v>
      </c>
      <c r="C13" s="14" t="s">
        <v>1191</v>
      </c>
      <c r="E13" s="30" t="s">
        <v>124</v>
      </c>
      <c r="F13" s="43"/>
      <c r="G13" s="14">
        <v>10</v>
      </c>
      <c r="H13" s="45"/>
      <c r="I13" s="30" t="s">
        <v>1066</v>
      </c>
      <c r="J13" s="169" t="s">
        <v>1250</v>
      </c>
    </row>
    <row r="14" spans="1:10" ht="14.3" customHeight="1" x14ac:dyDescent="0.25">
      <c r="A14" s="233"/>
      <c r="B14" s="14" t="s">
        <v>1133</v>
      </c>
      <c r="C14" s="14" t="s">
        <v>1192</v>
      </c>
      <c r="E14" s="30" t="s">
        <v>125</v>
      </c>
      <c r="F14" s="43"/>
      <c r="G14" s="14">
        <v>11</v>
      </c>
      <c r="H14" s="45"/>
      <c r="I14" s="30" t="s">
        <v>1076</v>
      </c>
      <c r="J14" s="169" t="s">
        <v>1251</v>
      </c>
    </row>
    <row r="15" spans="1:10" ht="14.3" customHeight="1" x14ac:dyDescent="0.25">
      <c r="A15" s="233"/>
      <c r="B15" s="14" t="s">
        <v>1134</v>
      </c>
      <c r="C15" s="14" t="s">
        <v>1193</v>
      </c>
      <c r="E15" s="30" t="s">
        <v>126</v>
      </c>
      <c r="F15" s="43"/>
      <c r="G15" s="14">
        <v>12</v>
      </c>
      <c r="H15" s="45"/>
      <c r="I15" s="30" t="s">
        <v>1077</v>
      </c>
      <c r="J15" s="169" t="s">
        <v>1252</v>
      </c>
    </row>
    <row r="16" spans="1:10" ht="14.3" customHeight="1" x14ac:dyDescent="0.25">
      <c r="A16" s="233"/>
      <c r="B16" s="14" t="s">
        <v>1135</v>
      </c>
      <c r="C16" s="14" t="s">
        <v>1194</v>
      </c>
      <c r="E16" s="30" t="s">
        <v>152</v>
      </c>
      <c r="F16" s="43"/>
      <c r="G16" s="14">
        <v>13</v>
      </c>
      <c r="H16" s="45"/>
      <c r="I16" s="30" t="s">
        <v>1078</v>
      </c>
      <c r="J16" s="169" t="s">
        <v>1253</v>
      </c>
    </row>
    <row r="17" spans="1:10" ht="14.3" customHeight="1" x14ac:dyDescent="0.25">
      <c r="A17" s="233"/>
      <c r="B17" s="14" t="s">
        <v>1136</v>
      </c>
      <c r="C17" s="14" t="s">
        <v>1195</v>
      </c>
      <c r="E17" s="30" t="s">
        <v>127</v>
      </c>
      <c r="F17" s="43"/>
      <c r="G17" s="14">
        <v>14</v>
      </c>
      <c r="H17" s="45"/>
      <c r="I17" s="30" t="s">
        <v>1079</v>
      </c>
      <c r="J17" s="169" t="s">
        <v>1254</v>
      </c>
    </row>
    <row r="18" spans="1:10" ht="14.3" customHeight="1" x14ac:dyDescent="0.25">
      <c r="A18" s="233"/>
      <c r="B18" s="14" t="s">
        <v>1137</v>
      </c>
      <c r="C18" s="14" t="s">
        <v>1196</v>
      </c>
      <c r="E18" s="30" t="s">
        <v>128</v>
      </c>
      <c r="F18" s="43"/>
      <c r="G18" s="14">
        <v>15</v>
      </c>
      <c r="H18" s="45"/>
      <c r="I18" s="30" t="s">
        <v>1080</v>
      </c>
      <c r="J18" s="169" t="s">
        <v>1255</v>
      </c>
    </row>
    <row r="19" spans="1:10" ht="14.3" customHeight="1" x14ac:dyDescent="0.25">
      <c r="A19" s="233"/>
      <c r="B19" s="14" t="s">
        <v>1138</v>
      </c>
      <c r="C19" s="14" t="s">
        <v>1197</v>
      </c>
      <c r="E19" s="30" t="s">
        <v>518</v>
      </c>
      <c r="F19" s="43"/>
      <c r="G19" s="14">
        <v>16</v>
      </c>
      <c r="H19" s="45"/>
      <c r="I19" s="30" t="s">
        <v>1081</v>
      </c>
      <c r="J19" s="169" t="s">
        <v>1256</v>
      </c>
    </row>
    <row r="20" spans="1:10" ht="14.3" customHeight="1" x14ac:dyDescent="0.25">
      <c r="A20" s="233"/>
      <c r="B20" s="14" t="s">
        <v>1139</v>
      </c>
      <c r="C20" s="14" t="s">
        <v>1198</v>
      </c>
      <c r="E20" s="30" t="s">
        <v>588</v>
      </c>
      <c r="F20" s="43"/>
      <c r="G20" s="14">
        <v>17</v>
      </c>
      <c r="H20" s="45"/>
      <c r="I20" s="30" t="s">
        <v>1082</v>
      </c>
      <c r="J20" s="169" t="s">
        <v>1257</v>
      </c>
    </row>
    <row r="21" spans="1:10" ht="14.3" customHeight="1" x14ac:dyDescent="0.25">
      <c r="A21" s="233"/>
      <c r="B21" s="14" t="s">
        <v>1140</v>
      </c>
      <c r="C21" s="14" t="s">
        <v>1199</v>
      </c>
      <c r="E21" s="30" t="s">
        <v>146</v>
      </c>
      <c r="F21" s="43"/>
      <c r="G21" s="14">
        <v>18</v>
      </c>
      <c r="H21" s="45"/>
      <c r="I21" s="30" t="s">
        <v>1083</v>
      </c>
      <c r="J21" s="169" t="s">
        <v>1258</v>
      </c>
    </row>
    <row r="22" spans="1:10" ht="14.3" customHeight="1" x14ac:dyDescent="0.25">
      <c r="A22" s="233"/>
      <c r="B22" s="14" t="s">
        <v>1141</v>
      </c>
      <c r="C22" s="14" t="s">
        <v>1200</v>
      </c>
      <c r="E22" s="30" t="s">
        <v>627</v>
      </c>
      <c r="F22" s="43"/>
      <c r="G22" s="14">
        <v>19</v>
      </c>
      <c r="H22" s="45"/>
      <c r="I22" s="30" t="s">
        <v>1084</v>
      </c>
      <c r="J22" s="169" t="s">
        <v>1259</v>
      </c>
    </row>
    <row r="23" spans="1:10" ht="14.3" customHeight="1" x14ac:dyDescent="0.25">
      <c r="A23" s="233"/>
      <c r="B23" s="14" t="s">
        <v>1142</v>
      </c>
      <c r="C23" s="14" t="s">
        <v>1201</v>
      </c>
      <c r="E23" s="30" t="s">
        <v>613</v>
      </c>
      <c r="F23" s="43"/>
      <c r="G23" s="14">
        <v>20</v>
      </c>
      <c r="H23" s="45"/>
      <c r="I23" s="30" t="s">
        <v>989</v>
      </c>
      <c r="J23" s="169" t="s">
        <v>1260</v>
      </c>
    </row>
    <row r="24" spans="1:10" ht="14.3" customHeight="1" x14ac:dyDescent="0.25">
      <c r="A24" s="233"/>
      <c r="B24" s="14" t="s">
        <v>1143</v>
      </c>
      <c r="C24" s="14" t="s">
        <v>1202</v>
      </c>
      <c r="E24" s="30" t="s">
        <v>97</v>
      </c>
      <c r="F24" s="43"/>
      <c r="G24" s="14">
        <v>21</v>
      </c>
      <c r="H24" s="45"/>
      <c r="I24" s="30" t="s">
        <v>1085</v>
      </c>
      <c r="J24" s="169" t="s">
        <v>1261</v>
      </c>
    </row>
    <row r="25" spans="1:10" ht="14.3" customHeight="1" x14ac:dyDescent="0.25">
      <c r="A25" s="233"/>
      <c r="B25" s="14" t="s">
        <v>1144</v>
      </c>
      <c r="C25" s="14" t="s">
        <v>1203</v>
      </c>
      <c r="E25" s="30" t="s">
        <v>590</v>
      </c>
      <c r="F25" s="43"/>
      <c r="G25" s="14">
        <v>22</v>
      </c>
      <c r="H25" s="45"/>
      <c r="I25" s="30" t="s">
        <v>1086</v>
      </c>
      <c r="J25" s="169" t="s">
        <v>1262</v>
      </c>
    </row>
    <row r="26" spans="1:10" ht="14.3" customHeight="1" x14ac:dyDescent="0.25">
      <c r="A26" s="233"/>
      <c r="B26" s="14" t="s">
        <v>1145</v>
      </c>
      <c r="C26" s="14" t="s">
        <v>1204</v>
      </c>
      <c r="E26" s="30" t="s">
        <v>628</v>
      </c>
      <c r="F26" s="43"/>
      <c r="G26" s="14">
        <v>23</v>
      </c>
      <c r="H26" s="45"/>
      <c r="I26" s="30" t="s">
        <v>1087</v>
      </c>
      <c r="J26" s="169" t="s">
        <v>1263</v>
      </c>
    </row>
    <row r="27" spans="1:10" ht="14.3" customHeight="1" x14ac:dyDescent="0.25">
      <c r="A27" s="233"/>
      <c r="B27" s="14" t="s">
        <v>1146</v>
      </c>
      <c r="C27" s="14" t="s">
        <v>1205</v>
      </c>
      <c r="E27" s="30" t="s">
        <v>78</v>
      </c>
      <c r="F27" s="43"/>
      <c r="G27" s="14">
        <v>24</v>
      </c>
      <c r="H27" s="45"/>
      <c r="I27" s="30" t="s">
        <v>1088</v>
      </c>
      <c r="J27" s="169" t="s">
        <v>1264</v>
      </c>
    </row>
    <row r="28" spans="1:10" ht="14.3" customHeight="1" x14ac:dyDescent="0.25">
      <c r="A28" s="233"/>
      <c r="B28" s="14" t="s">
        <v>1147</v>
      </c>
      <c r="C28" s="14" t="s">
        <v>1206</v>
      </c>
      <c r="E28" s="30" t="s">
        <v>556</v>
      </c>
      <c r="F28" s="43"/>
      <c r="G28" s="14">
        <v>25</v>
      </c>
      <c r="H28" s="45"/>
      <c r="I28" s="30" t="s">
        <v>1089</v>
      </c>
      <c r="J28" s="169" t="s">
        <v>1265</v>
      </c>
    </row>
    <row r="29" spans="1:10" ht="14.3" customHeight="1" x14ac:dyDescent="0.25">
      <c r="A29" s="233"/>
      <c r="B29" s="14" t="s">
        <v>1148</v>
      </c>
      <c r="C29" s="14" t="s">
        <v>1207</v>
      </c>
      <c r="E29" s="30" t="s">
        <v>496</v>
      </c>
      <c r="F29" s="43"/>
      <c r="G29" s="14">
        <v>26</v>
      </c>
      <c r="H29" s="45"/>
      <c r="I29" s="30" t="s">
        <v>1090</v>
      </c>
      <c r="J29" s="169" t="s">
        <v>1266</v>
      </c>
    </row>
    <row r="30" spans="1:10" ht="14.3" customHeight="1" x14ac:dyDescent="0.25">
      <c r="A30" s="233"/>
      <c r="B30" s="14" t="s">
        <v>1149</v>
      </c>
      <c r="C30" s="14" t="s">
        <v>1208</v>
      </c>
      <c r="E30" s="30" t="s">
        <v>158</v>
      </c>
      <c r="F30" s="43"/>
      <c r="G30" s="14">
        <v>27</v>
      </c>
      <c r="H30" s="45"/>
      <c r="I30" s="30" t="s">
        <v>1091</v>
      </c>
      <c r="J30" s="169" t="s">
        <v>1267</v>
      </c>
    </row>
    <row r="31" spans="1:10" ht="14.3" customHeight="1" x14ac:dyDescent="0.25">
      <c r="A31" s="233"/>
      <c r="B31" s="14" t="s">
        <v>1150</v>
      </c>
      <c r="C31" s="14" t="s">
        <v>1209</v>
      </c>
      <c r="E31" s="30" t="s">
        <v>521</v>
      </c>
      <c r="F31" s="43"/>
      <c r="G31" s="14">
        <v>28</v>
      </c>
      <c r="H31" s="45"/>
      <c r="I31" s="30" t="s">
        <v>1092</v>
      </c>
      <c r="J31" s="169" t="s">
        <v>1268</v>
      </c>
    </row>
    <row r="32" spans="1:10" ht="14.3" customHeight="1" x14ac:dyDescent="0.25">
      <c r="A32" s="233"/>
      <c r="B32" s="14" t="s">
        <v>1151</v>
      </c>
      <c r="C32" s="14" t="s">
        <v>1210</v>
      </c>
      <c r="E32" s="30" t="s">
        <v>99</v>
      </c>
      <c r="F32" s="43"/>
      <c r="G32" s="14">
        <v>29</v>
      </c>
      <c r="H32" s="45"/>
      <c r="I32" s="30" t="s">
        <v>1093</v>
      </c>
      <c r="J32" s="169" t="s">
        <v>1269</v>
      </c>
    </row>
    <row r="33" spans="1:10" ht="14.3" customHeight="1" x14ac:dyDescent="0.25">
      <c r="A33" s="233"/>
      <c r="B33" s="14" t="s">
        <v>1152</v>
      </c>
      <c r="C33" s="14" t="s">
        <v>1211</v>
      </c>
      <c r="E33" s="30" t="s">
        <v>100</v>
      </c>
      <c r="F33" s="43"/>
      <c r="G33" s="14">
        <v>30</v>
      </c>
      <c r="H33" s="45"/>
      <c r="I33" s="30" t="s">
        <v>998</v>
      </c>
      <c r="J33" s="169" t="s">
        <v>1270</v>
      </c>
    </row>
    <row r="34" spans="1:10" ht="14.3" customHeight="1" x14ac:dyDescent="0.25">
      <c r="A34" s="233"/>
      <c r="B34" s="14" t="s">
        <v>1153</v>
      </c>
      <c r="C34" s="14" t="s">
        <v>1212</v>
      </c>
      <c r="E34" s="30" t="s">
        <v>101</v>
      </c>
      <c r="F34" s="43"/>
      <c r="G34" s="42">
        <v>35</v>
      </c>
      <c r="H34" s="45"/>
      <c r="I34" s="30" t="s">
        <v>1094</v>
      </c>
      <c r="J34" s="169" t="s">
        <v>1271</v>
      </c>
    </row>
    <row r="35" spans="1:10" ht="14.3" customHeight="1" x14ac:dyDescent="0.25">
      <c r="A35" s="233"/>
      <c r="B35" s="14" t="s">
        <v>1154</v>
      </c>
      <c r="C35" s="14" t="s">
        <v>1213</v>
      </c>
      <c r="E35" s="30" t="s">
        <v>593</v>
      </c>
      <c r="F35" s="43"/>
      <c r="G35" s="42">
        <v>40</v>
      </c>
      <c r="H35" s="45"/>
      <c r="I35" s="30" t="s">
        <v>1095</v>
      </c>
      <c r="J35" s="169" t="s">
        <v>1272</v>
      </c>
    </row>
    <row r="36" spans="1:10" ht="14.3" customHeight="1" x14ac:dyDescent="0.25">
      <c r="A36" s="233"/>
      <c r="B36" s="14" t="s">
        <v>1155</v>
      </c>
      <c r="C36" s="14" t="s">
        <v>1214</v>
      </c>
      <c r="E36" s="30" t="s">
        <v>601</v>
      </c>
      <c r="F36" s="43"/>
      <c r="G36" s="42">
        <v>45</v>
      </c>
      <c r="H36" s="45"/>
      <c r="I36" s="30" t="s">
        <v>1096</v>
      </c>
      <c r="J36" s="169" t="s">
        <v>1273</v>
      </c>
    </row>
    <row r="37" spans="1:10" ht="14.3" customHeight="1" x14ac:dyDescent="0.25">
      <c r="A37" s="233"/>
      <c r="B37" s="14" t="s">
        <v>1156</v>
      </c>
      <c r="C37" s="14" t="s">
        <v>1215</v>
      </c>
      <c r="E37" s="30" t="s">
        <v>103</v>
      </c>
      <c r="F37" s="43"/>
      <c r="G37" s="42">
        <f>G36+5</f>
        <v>50</v>
      </c>
      <c r="H37" s="45"/>
      <c r="I37" s="30" t="s">
        <v>1097</v>
      </c>
      <c r="J37" s="169" t="s">
        <v>1274</v>
      </c>
    </row>
    <row r="38" spans="1:10" ht="14.3" customHeight="1" x14ac:dyDescent="0.25">
      <c r="A38" s="233"/>
      <c r="B38" s="14" t="s">
        <v>1157</v>
      </c>
      <c r="C38" s="14" t="s">
        <v>1216</v>
      </c>
      <c r="E38" s="30" t="s">
        <v>517</v>
      </c>
      <c r="F38" s="43"/>
      <c r="G38" s="42">
        <f t="shared" ref="G38:G57" si="0">G37+5</f>
        <v>55</v>
      </c>
      <c r="H38" s="45"/>
      <c r="I38" s="30" t="s">
        <v>1098</v>
      </c>
      <c r="J38" s="169" t="s">
        <v>1275</v>
      </c>
    </row>
    <row r="39" spans="1:10" ht="14.3" customHeight="1" x14ac:dyDescent="0.25">
      <c r="A39" s="233"/>
      <c r="B39" s="14" t="s">
        <v>1158</v>
      </c>
      <c r="C39" s="14" t="s">
        <v>1217</v>
      </c>
      <c r="E39" s="30" t="s">
        <v>104</v>
      </c>
      <c r="F39" s="43"/>
      <c r="G39" s="42">
        <f t="shared" si="0"/>
        <v>60</v>
      </c>
      <c r="H39" s="45"/>
      <c r="I39" s="30" t="s">
        <v>1099</v>
      </c>
      <c r="J39" s="169" t="s">
        <v>1276</v>
      </c>
    </row>
    <row r="40" spans="1:10" ht="14.3" customHeight="1" x14ac:dyDescent="0.25">
      <c r="A40" s="233"/>
      <c r="B40" s="14" t="s">
        <v>1159</v>
      </c>
      <c r="C40" s="14" t="s">
        <v>1218</v>
      </c>
      <c r="E40" s="30" t="s">
        <v>105</v>
      </c>
      <c r="F40" s="43"/>
      <c r="G40" s="42">
        <f t="shared" si="0"/>
        <v>65</v>
      </c>
      <c r="H40" s="45"/>
      <c r="I40" s="30" t="s">
        <v>1100</v>
      </c>
      <c r="J40" s="169" t="s">
        <v>1277</v>
      </c>
    </row>
    <row r="41" spans="1:10" ht="14.3" customHeight="1" x14ac:dyDescent="0.25">
      <c r="A41" s="233"/>
      <c r="B41" s="14" t="s">
        <v>1160</v>
      </c>
      <c r="C41" s="14" t="s">
        <v>1219</v>
      </c>
      <c r="E41" s="30" t="s">
        <v>106</v>
      </c>
      <c r="F41" s="43"/>
      <c r="G41" s="42">
        <f t="shared" si="0"/>
        <v>70</v>
      </c>
      <c r="H41" s="45"/>
      <c r="I41" s="30" t="s">
        <v>1101</v>
      </c>
      <c r="J41" s="169" t="s">
        <v>1278</v>
      </c>
    </row>
    <row r="42" spans="1:10" ht="14.3" customHeight="1" x14ac:dyDescent="0.25">
      <c r="A42" s="233"/>
      <c r="B42" s="14" t="s">
        <v>1161</v>
      </c>
      <c r="C42" s="14" t="s">
        <v>1220</v>
      </c>
      <c r="E42" s="30" t="s">
        <v>107</v>
      </c>
      <c r="F42" s="43"/>
      <c r="G42" s="42">
        <f t="shared" si="0"/>
        <v>75</v>
      </c>
      <c r="H42" s="45"/>
      <c r="I42" s="30" t="s">
        <v>1102</v>
      </c>
      <c r="J42" s="169" t="s">
        <v>1279</v>
      </c>
    </row>
    <row r="43" spans="1:10" ht="14.3" customHeight="1" x14ac:dyDescent="0.25">
      <c r="A43" s="233"/>
      <c r="B43" s="14" t="s">
        <v>1162</v>
      </c>
      <c r="C43" s="14" t="s">
        <v>1221</v>
      </c>
      <c r="E43" s="30" t="s">
        <v>539</v>
      </c>
      <c r="F43" s="43"/>
      <c r="G43" s="42">
        <f t="shared" si="0"/>
        <v>80</v>
      </c>
      <c r="H43" s="45"/>
      <c r="I43" s="30" t="s">
        <v>1103</v>
      </c>
      <c r="J43" s="169" t="s">
        <v>1280</v>
      </c>
    </row>
    <row r="44" spans="1:10" ht="14.3" customHeight="1" x14ac:dyDescent="0.25">
      <c r="A44" s="233"/>
      <c r="B44" s="14" t="s">
        <v>1163</v>
      </c>
      <c r="C44" s="14" t="s">
        <v>1222</v>
      </c>
      <c r="E44" s="30" t="s">
        <v>547</v>
      </c>
      <c r="F44" s="43"/>
      <c r="G44" s="42">
        <f t="shared" si="0"/>
        <v>85</v>
      </c>
      <c r="H44" s="45"/>
      <c r="I44" s="30" t="s">
        <v>1104</v>
      </c>
      <c r="J44" s="169" t="s">
        <v>1281</v>
      </c>
    </row>
    <row r="45" spans="1:10" ht="14.3" customHeight="1" x14ac:dyDescent="0.25">
      <c r="A45" s="233"/>
      <c r="B45" s="14" t="s">
        <v>1164</v>
      </c>
      <c r="C45" s="14" t="s">
        <v>1223</v>
      </c>
      <c r="E45" s="30" t="s">
        <v>577</v>
      </c>
      <c r="F45" s="43"/>
      <c r="G45" s="42">
        <f t="shared" si="0"/>
        <v>90</v>
      </c>
      <c r="H45" s="45"/>
      <c r="I45" s="30" t="s">
        <v>1105</v>
      </c>
      <c r="J45" s="169" t="s">
        <v>1282</v>
      </c>
    </row>
    <row r="46" spans="1:10" ht="14.3" customHeight="1" x14ac:dyDescent="0.25">
      <c r="A46" s="233"/>
      <c r="B46" s="14" t="s">
        <v>1165</v>
      </c>
      <c r="C46" s="14" t="s">
        <v>1224</v>
      </c>
      <c r="E46" s="30" t="s">
        <v>108</v>
      </c>
      <c r="F46" s="43"/>
      <c r="G46" s="42">
        <f t="shared" si="0"/>
        <v>95</v>
      </c>
      <c r="H46" s="45"/>
      <c r="I46" s="30" t="s">
        <v>1106</v>
      </c>
      <c r="J46" s="169" t="s">
        <v>1283</v>
      </c>
    </row>
    <row r="47" spans="1:10" ht="14.3" customHeight="1" x14ac:dyDescent="0.25">
      <c r="A47" s="233"/>
      <c r="B47" s="14" t="s">
        <v>1166</v>
      </c>
      <c r="C47" s="14" t="s">
        <v>1225</v>
      </c>
      <c r="E47" s="30" t="s">
        <v>516</v>
      </c>
      <c r="F47" s="43"/>
      <c r="G47" s="42">
        <f t="shared" si="0"/>
        <v>100</v>
      </c>
      <c r="H47" s="45"/>
      <c r="I47" s="30" t="s">
        <v>1107</v>
      </c>
      <c r="J47" s="169" t="s">
        <v>1284</v>
      </c>
    </row>
    <row r="48" spans="1:10" ht="14.3" customHeight="1" x14ac:dyDescent="0.25">
      <c r="A48" s="233"/>
      <c r="B48" s="14" t="s">
        <v>1167</v>
      </c>
      <c r="C48" s="14" t="s">
        <v>1226</v>
      </c>
      <c r="E48" s="30" t="s">
        <v>109</v>
      </c>
      <c r="F48" s="43"/>
      <c r="G48" s="42">
        <f t="shared" si="0"/>
        <v>105</v>
      </c>
      <c r="H48" s="45"/>
      <c r="I48" s="30" t="s">
        <v>1108</v>
      </c>
      <c r="J48" s="169" t="s">
        <v>1285</v>
      </c>
    </row>
    <row r="49" spans="1:10" ht="14.3" customHeight="1" x14ac:dyDescent="0.25">
      <c r="A49" s="233"/>
      <c r="B49" s="14" t="s">
        <v>1168</v>
      </c>
      <c r="C49" s="14" t="s">
        <v>1227</v>
      </c>
      <c r="E49" s="30" t="s">
        <v>110</v>
      </c>
      <c r="F49" s="43"/>
      <c r="G49" s="42">
        <f t="shared" si="0"/>
        <v>110</v>
      </c>
      <c r="H49" s="45"/>
      <c r="I49" s="30" t="s">
        <v>1109</v>
      </c>
      <c r="J49" s="169" t="s">
        <v>1286</v>
      </c>
    </row>
    <row r="50" spans="1:10" ht="14.3" customHeight="1" x14ac:dyDescent="0.25">
      <c r="A50" s="233"/>
      <c r="B50" s="14" t="s">
        <v>1169</v>
      </c>
      <c r="C50" s="14" t="s">
        <v>1228</v>
      </c>
      <c r="E50" s="30" t="s">
        <v>558</v>
      </c>
      <c r="F50" s="43"/>
      <c r="G50" s="42">
        <f t="shared" si="0"/>
        <v>115</v>
      </c>
      <c r="H50" s="45"/>
      <c r="I50" s="30" t="s">
        <v>1110</v>
      </c>
      <c r="J50" s="169" t="s">
        <v>1287</v>
      </c>
    </row>
    <row r="51" spans="1:10" ht="14.3" customHeight="1" x14ac:dyDescent="0.25">
      <c r="A51" s="233"/>
      <c r="B51" s="14" t="s">
        <v>1170</v>
      </c>
      <c r="C51" s="14" t="s">
        <v>1229</v>
      </c>
      <c r="E51" s="30" t="s">
        <v>580</v>
      </c>
      <c r="F51" s="43"/>
      <c r="G51" s="42">
        <f t="shared" si="0"/>
        <v>120</v>
      </c>
      <c r="H51" s="45"/>
      <c r="I51" s="30" t="s">
        <v>1111</v>
      </c>
      <c r="J51" s="169" t="s">
        <v>1288</v>
      </c>
    </row>
    <row r="52" spans="1:10" ht="14.3" customHeight="1" x14ac:dyDescent="0.25">
      <c r="A52" s="233"/>
      <c r="B52" s="14" t="s">
        <v>1171</v>
      </c>
      <c r="C52" s="14" t="s">
        <v>1230</v>
      </c>
      <c r="E52" s="30" t="s">
        <v>591</v>
      </c>
      <c r="F52" s="43"/>
      <c r="G52" s="42">
        <f t="shared" si="0"/>
        <v>125</v>
      </c>
      <c r="H52" s="45"/>
      <c r="I52" s="30" t="s">
        <v>1112</v>
      </c>
      <c r="J52" s="169" t="s">
        <v>1289</v>
      </c>
    </row>
    <row r="53" spans="1:10" ht="14.3" customHeight="1" x14ac:dyDescent="0.25">
      <c r="A53" s="233"/>
      <c r="B53" s="14" t="s">
        <v>1172</v>
      </c>
      <c r="C53" s="14" t="s">
        <v>1231</v>
      </c>
      <c r="E53" s="30" t="s">
        <v>551</v>
      </c>
      <c r="F53" s="43"/>
      <c r="G53" s="42">
        <f t="shared" si="0"/>
        <v>130</v>
      </c>
      <c r="H53" s="45"/>
      <c r="I53" s="30" t="s">
        <v>1113</v>
      </c>
      <c r="J53" s="169" t="s">
        <v>1290</v>
      </c>
    </row>
    <row r="54" spans="1:10" ht="14.3" customHeight="1" x14ac:dyDescent="0.25">
      <c r="A54" s="233"/>
      <c r="B54" s="14" t="s">
        <v>1173</v>
      </c>
      <c r="C54" s="14" t="s">
        <v>1232</v>
      </c>
      <c r="E54" s="30" t="s">
        <v>153</v>
      </c>
      <c r="F54" s="43"/>
      <c r="G54" s="42">
        <f t="shared" si="0"/>
        <v>135</v>
      </c>
      <c r="H54" s="45"/>
      <c r="I54" s="30" t="s">
        <v>1114</v>
      </c>
      <c r="J54" s="169" t="s">
        <v>1291</v>
      </c>
    </row>
    <row r="55" spans="1:10" ht="14.3" customHeight="1" x14ac:dyDescent="0.25">
      <c r="A55" s="233"/>
      <c r="B55" s="14" t="s">
        <v>1174</v>
      </c>
      <c r="C55" s="14" t="s">
        <v>1233</v>
      </c>
      <c r="E55" s="30" t="s">
        <v>151</v>
      </c>
      <c r="F55" s="43"/>
      <c r="G55" s="42">
        <f t="shared" si="0"/>
        <v>140</v>
      </c>
      <c r="H55" s="45"/>
      <c r="I55" s="30" t="s">
        <v>1115</v>
      </c>
      <c r="J55" s="169" t="s">
        <v>1292</v>
      </c>
    </row>
    <row r="56" spans="1:10" ht="14.3" customHeight="1" x14ac:dyDescent="0.25">
      <c r="A56" s="233"/>
      <c r="B56" s="14" t="s">
        <v>1175</v>
      </c>
      <c r="C56" s="14" t="s">
        <v>1234</v>
      </c>
      <c r="E56" s="30" t="s">
        <v>111</v>
      </c>
      <c r="F56" s="43"/>
      <c r="G56" s="42">
        <f t="shared" si="0"/>
        <v>145</v>
      </c>
      <c r="H56" s="45"/>
      <c r="I56" s="30" t="s">
        <v>1116</v>
      </c>
      <c r="J56" s="169" t="s">
        <v>1293</v>
      </c>
    </row>
    <row r="57" spans="1:10" ht="14.3" customHeight="1" x14ac:dyDescent="0.25">
      <c r="A57" s="233"/>
      <c r="B57" s="14" t="s">
        <v>1176</v>
      </c>
      <c r="C57" s="14" t="s">
        <v>1235</v>
      </c>
      <c r="E57" s="30" t="s">
        <v>576</v>
      </c>
      <c r="F57" s="43"/>
      <c r="G57" s="42">
        <f t="shared" si="0"/>
        <v>150</v>
      </c>
      <c r="H57" s="45"/>
      <c r="I57" s="30" t="s">
        <v>1117</v>
      </c>
      <c r="J57" s="169" t="s">
        <v>1294</v>
      </c>
    </row>
    <row r="58" spans="1:10" ht="14.3" customHeight="1" x14ac:dyDescent="0.25">
      <c r="A58" s="233"/>
      <c r="B58" s="14" t="s">
        <v>1177</v>
      </c>
      <c r="C58" s="14" t="s">
        <v>1236</v>
      </c>
      <c r="E58" s="30" t="s">
        <v>520</v>
      </c>
      <c r="F58" s="43"/>
      <c r="G58" s="42">
        <v>200</v>
      </c>
      <c r="H58" s="45"/>
      <c r="I58" s="30" t="s">
        <v>1118</v>
      </c>
      <c r="J58" s="169" t="s">
        <v>1295</v>
      </c>
    </row>
    <row r="59" spans="1:10" ht="14.3" customHeight="1" x14ac:dyDescent="0.25">
      <c r="A59" s="233"/>
      <c r="B59" s="14" t="s">
        <v>1178</v>
      </c>
      <c r="C59" s="14" t="s">
        <v>1237</v>
      </c>
      <c r="E59" s="30" t="s">
        <v>541</v>
      </c>
      <c r="F59" s="43"/>
      <c r="G59" s="42">
        <v>250</v>
      </c>
      <c r="H59" s="45"/>
      <c r="I59" s="30" t="s">
        <v>1119</v>
      </c>
      <c r="J59" s="169" t="s">
        <v>1296</v>
      </c>
    </row>
    <row r="60" spans="1:10" ht="14.3" customHeight="1" x14ac:dyDescent="0.25">
      <c r="A60" s="233"/>
      <c r="B60" s="14" t="s">
        <v>1179</v>
      </c>
      <c r="C60" s="14" t="s">
        <v>1238</v>
      </c>
      <c r="E60" s="30" t="s">
        <v>154</v>
      </c>
      <c r="F60" s="43"/>
      <c r="G60" s="42">
        <v>300</v>
      </c>
      <c r="H60" s="45"/>
      <c r="I60" s="30" t="s">
        <v>1120</v>
      </c>
      <c r="J60" s="169" t="s">
        <v>1297</v>
      </c>
    </row>
    <row r="61" spans="1:10" ht="14.3" customHeight="1" x14ac:dyDescent="0.25">
      <c r="A61" s="233"/>
      <c r="B61" s="14" t="s">
        <v>1180</v>
      </c>
      <c r="C61" s="14" t="s">
        <v>1239</v>
      </c>
      <c r="E61" s="30" t="s">
        <v>145</v>
      </c>
      <c r="F61" s="43"/>
      <c r="G61" s="14">
        <f>G60+50</f>
        <v>350</v>
      </c>
      <c r="H61" s="45"/>
      <c r="I61" s="30" t="s">
        <v>1121</v>
      </c>
      <c r="J61" s="169" t="s">
        <v>1298</v>
      </c>
    </row>
    <row r="62" spans="1:10" ht="14.3" customHeight="1" x14ac:dyDescent="0.25">
      <c r="A62" s="233"/>
      <c r="B62" s="14" t="s">
        <v>1181</v>
      </c>
      <c r="C62" s="14" t="s">
        <v>1240</v>
      </c>
      <c r="E62" s="30" t="s">
        <v>535</v>
      </c>
      <c r="F62" s="43"/>
      <c r="G62" s="14">
        <f t="shared" ref="G62:G74" si="1">G61+50</f>
        <v>400</v>
      </c>
      <c r="H62" s="45"/>
      <c r="I62" s="30" t="s">
        <v>1122</v>
      </c>
      <c r="J62" s="169" t="s">
        <v>1299</v>
      </c>
    </row>
    <row r="63" spans="1:10" ht="14.3" customHeight="1" x14ac:dyDescent="0.25">
      <c r="A63" s="233"/>
      <c r="B63" s="42" t="s">
        <v>664</v>
      </c>
      <c r="C63" s="42" t="s">
        <v>664</v>
      </c>
      <c r="E63" s="30" t="s">
        <v>112</v>
      </c>
      <c r="F63" s="43"/>
      <c r="G63" s="14">
        <f t="shared" si="1"/>
        <v>450</v>
      </c>
      <c r="H63" s="45"/>
      <c r="I63" s="30" t="s">
        <v>664</v>
      </c>
      <c r="J63" s="169" t="s">
        <v>664</v>
      </c>
    </row>
    <row r="64" spans="1:10" ht="14.3" customHeight="1" x14ac:dyDescent="0.25">
      <c r="A64" s="233"/>
      <c r="E64" s="30" t="s">
        <v>137</v>
      </c>
      <c r="F64" s="43"/>
      <c r="G64" s="14">
        <f t="shared" si="1"/>
        <v>500</v>
      </c>
      <c r="H64" s="45"/>
      <c r="I64" s="171"/>
      <c r="J64" s="170"/>
    </row>
    <row r="65" spans="1:10" ht="14.3" customHeight="1" x14ac:dyDescent="0.25">
      <c r="A65" s="233"/>
      <c r="E65" s="30" t="s">
        <v>102</v>
      </c>
      <c r="F65" s="43"/>
      <c r="G65" s="14">
        <f t="shared" si="1"/>
        <v>550</v>
      </c>
      <c r="H65" s="45"/>
      <c r="I65" s="171"/>
      <c r="J65" s="170"/>
    </row>
    <row r="66" spans="1:10" ht="14.3" customHeight="1" x14ac:dyDescent="0.25">
      <c r="A66" s="233"/>
      <c r="E66" s="30" t="s">
        <v>592</v>
      </c>
      <c r="F66" s="43"/>
      <c r="G66" s="14">
        <f t="shared" si="1"/>
        <v>600</v>
      </c>
      <c r="H66" s="45"/>
      <c r="I66" s="171"/>
      <c r="J66" s="170"/>
    </row>
    <row r="67" spans="1:10" ht="14.3" customHeight="1" x14ac:dyDescent="0.25">
      <c r="A67" s="233"/>
      <c r="E67" s="30" t="s">
        <v>129</v>
      </c>
      <c r="F67" s="43"/>
      <c r="G67" s="14">
        <f t="shared" si="1"/>
        <v>650</v>
      </c>
      <c r="H67" s="45"/>
      <c r="I67" s="171"/>
      <c r="J67" s="170"/>
    </row>
    <row r="68" spans="1:10" ht="14.3" customHeight="1" x14ac:dyDescent="0.25">
      <c r="A68" s="233"/>
      <c r="E68" s="30" t="s">
        <v>527</v>
      </c>
      <c r="F68" s="43"/>
      <c r="G68" s="14">
        <f t="shared" si="1"/>
        <v>700</v>
      </c>
      <c r="H68" s="45"/>
      <c r="I68" s="171"/>
      <c r="J68" s="170"/>
    </row>
    <row r="69" spans="1:10" ht="14.3" customHeight="1" x14ac:dyDescent="0.25">
      <c r="A69" s="233"/>
      <c r="E69" s="30" t="s">
        <v>610</v>
      </c>
      <c r="F69" s="43"/>
      <c r="G69" s="14">
        <f t="shared" si="1"/>
        <v>750</v>
      </c>
      <c r="H69" s="45"/>
      <c r="I69" s="171"/>
      <c r="J69" s="170"/>
    </row>
    <row r="70" spans="1:10" ht="14.3" customHeight="1" x14ac:dyDescent="0.25">
      <c r="A70" s="233"/>
      <c r="E70" s="30" t="s">
        <v>532</v>
      </c>
      <c r="F70" s="43"/>
      <c r="G70" s="14">
        <f t="shared" si="1"/>
        <v>800</v>
      </c>
      <c r="H70" s="45"/>
      <c r="I70" s="171"/>
      <c r="J70" s="170"/>
    </row>
    <row r="71" spans="1:10" ht="14.3" customHeight="1" x14ac:dyDescent="0.25">
      <c r="A71" s="233"/>
      <c r="E71" s="30" t="s">
        <v>140</v>
      </c>
      <c r="F71" s="43"/>
      <c r="G71" s="14">
        <f t="shared" si="1"/>
        <v>850</v>
      </c>
      <c r="H71" s="45"/>
      <c r="I71" s="171"/>
      <c r="J71" s="170"/>
    </row>
    <row r="72" spans="1:10" ht="14.3" customHeight="1" x14ac:dyDescent="0.25">
      <c r="A72" s="233"/>
      <c r="E72" s="30" t="s">
        <v>623</v>
      </c>
      <c r="F72" s="43"/>
      <c r="G72" s="14">
        <f t="shared" si="1"/>
        <v>900</v>
      </c>
      <c r="H72" s="45"/>
      <c r="I72" s="171"/>
      <c r="J72" s="170"/>
    </row>
    <row r="73" spans="1:10" ht="14.3" customHeight="1" x14ac:dyDescent="0.25">
      <c r="A73" s="233"/>
      <c r="E73" s="30" t="s">
        <v>142</v>
      </c>
      <c r="F73" s="43"/>
      <c r="G73" s="14">
        <f t="shared" si="1"/>
        <v>950</v>
      </c>
      <c r="H73" s="45"/>
      <c r="I73" s="171"/>
      <c r="J73" s="170"/>
    </row>
    <row r="74" spans="1:10" ht="14.3" customHeight="1" x14ac:dyDescent="0.25">
      <c r="A74" s="233"/>
      <c r="E74" s="30" t="s">
        <v>149</v>
      </c>
      <c r="F74" s="43"/>
      <c r="G74" s="14">
        <f t="shared" si="1"/>
        <v>1000</v>
      </c>
      <c r="H74" s="45"/>
      <c r="I74" s="171"/>
      <c r="J74" s="170"/>
    </row>
    <row r="75" spans="1:10" ht="14.3" customHeight="1" x14ac:dyDescent="0.25">
      <c r="A75" s="233"/>
      <c r="E75" s="30" t="s">
        <v>150</v>
      </c>
      <c r="F75" s="43"/>
      <c r="G75" s="14">
        <f>G74+100</f>
        <v>1100</v>
      </c>
      <c r="H75" s="45"/>
      <c r="I75" s="171"/>
      <c r="J75" s="170"/>
    </row>
    <row r="76" spans="1:10" ht="14.3" customHeight="1" x14ac:dyDescent="0.25">
      <c r="A76" s="233"/>
      <c r="E76" s="30" t="s">
        <v>529</v>
      </c>
      <c r="F76" s="43"/>
      <c r="G76" s="14">
        <f t="shared" ref="G76:G84" si="2">G75+100</f>
        <v>1200</v>
      </c>
      <c r="H76" s="45"/>
      <c r="I76" s="171"/>
      <c r="J76" s="170"/>
    </row>
    <row r="77" spans="1:10" ht="14.3" customHeight="1" x14ac:dyDescent="0.25">
      <c r="A77" s="233"/>
      <c r="E77" s="30" t="s">
        <v>598</v>
      </c>
      <c r="F77" s="43"/>
      <c r="G77" s="14">
        <f t="shared" si="2"/>
        <v>1300</v>
      </c>
      <c r="H77" s="45"/>
      <c r="I77" s="171"/>
      <c r="J77" s="170"/>
    </row>
    <row r="78" spans="1:10" ht="14.3" customHeight="1" x14ac:dyDescent="0.25">
      <c r="A78" s="233"/>
      <c r="E78" s="30" t="s">
        <v>143</v>
      </c>
      <c r="F78" s="43"/>
      <c r="G78" s="14">
        <f t="shared" si="2"/>
        <v>1400</v>
      </c>
      <c r="H78" s="45"/>
      <c r="I78" s="171"/>
      <c r="J78" s="170"/>
    </row>
    <row r="79" spans="1:10" ht="14.3" customHeight="1" x14ac:dyDescent="0.25">
      <c r="A79" s="233"/>
      <c r="E79" s="30" t="s">
        <v>586</v>
      </c>
      <c r="F79" s="43"/>
      <c r="G79" s="14">
        <f t="shared" si="2"/>
        <v>1500</v>
      </c>
      <c r="H79" s="45"/>
      <c r="I79" s="171"/>
      <c r="J79" s="170"/>
    </row>
    <row r="80" spans="1:10" ht="14.3" customHeight="1" x14ac:dyDescent="0.25">
      <c r="A80" s="233"/>
      <c r="E80" s="30" t="s">
        <v>134</v>
      </c>
      <c r="F80" s="43"/>
      <c r="G80" s="14">
        <f t="shared" si="2"/>
        <v>1600</v>
      </c>
      <c r="H80" s="45"/>
      <c r="I80" s="171"/>
      <c r="J80" s="170"/>
    </row>
    <row r="81" spans="1:10" ht="14.3" customHeight="1" x14ac:dyDescent="0.25">
      <c r="A81" s="233"/>
      <c r="E81" s="30" t="s">
        <v>534</v>
      </c>
      <c r="F81" s="43"/>
      <c r="G81" s="14">
        <f t="shared" si="2"/>
        <v>1700</v>
      </c>
      <c r="H81" s="45"/>
      <c r="I81" s="171"/>
      <c r="J81" s="170"/>
    </row>
    <row r="82" spans="1:10" ht="14.3" customHeight="1" x14ac:dyDescent="0.25">
      <c r="A82" s="233"/>
      <c r="E82" s="30" t="s">
        <v>113</v>
      </c>
      <c r="F82" s="43"/>
      <c r="G82" s="14">
        <f t="shared" si="2"/>
        <v>1800</v>
      </c>
      <c r="H82" s="45"/>
      <c r="I82" s="171"/>
      <c r="J82" s="170"/>
    </row>
    <row r="83" spans="1:10" ht="14.3" customHeight="1" x14ac:dyDescent="0.25">
      <c r="A83" s="233"/>
      <c r="E83" s="30" t="s">
        <v>266</v>
      </c>
      <c r="F83" s="43"/>
      <c r="G83" s="14">
        <f t="shared" si="2"/>
        <v>1900</v>
      </c>
      <c r="H83" s="45"/>
      <c r="I83" s="171"/>
      <c r="J83" s="170"/>
    </row>
    <row r="84" spans="1:10" ht="14.3" customHeight="1" x14ac:dyDescent="0.25">
      <c r="A84" s="233"/>
      <c r="E84" s="30" t="s">
        <v>619</v>
      </c>
      <c r="F84" s="43"/>
      <c r="G84" s="14">
        <f t="shared" si="2"/>
        <v>2000</v>
      </c>
      <c r="H84" s="45"/>
      <c r="I84" s="171"/>
      <c r="J84" s="170"/>
    </row>
    <row r="85" spans="1:10" ht="14.3" customHeight="1" x14ac:dyDescent="0.25">
      <c r="A85" s="233"/>
      <c r="E85" s="30" t="s">
        <v>115</v>
      </c>
      <c r="F85" s="43"/>
      <c r="G85" s="14">
        <v>2500</v>
      </c>
      <c r="H85" s="45"/>
      <c r="I85" s="171"/>
      <c r="J85" s="170"/>
    </row>
    <row r="86" spans="1:10" ht="14.3" customHeight="1" x14ac:dyDescent="0.25">
      <c r="A86" s="233"/>
      <c r="E86" s="30" t="s">
        <v>116</v>
      </c>
      <c r="F86" s="43"/>
      <c r="G86" s="14">
        <v>3000</v>
      </c>
      <c r="H86" s="45"/>
      <c r="I86" s="171"/>
      <c r="J86" s="170"/>
    </row>
    <row r="87" spans="1:10" ht="14.3" customHeight="1" x14ac:dyDescent="0.25">
      <c r="A87" s="233"/>
      <c r="E87" s="30" t="s">
        <v>620</v>
      </c>
      <c r="F87" s="43"/>
      <c r="G87" s="14">
        <f>G86+500</f>
        <v>3500</v>
      </c>
      <c r="H87" s="45"/>
      <c r="I87" s="171"/>
      <c r="J87" s="170"/>
    </row>
    <row r="88" spans="1:10" ht="14.3" customHeight="1" x14ac:dyDescent="0.25">
      <c r="A88" s="233"/>
      <c r="E88" s="30" t="s">
        <v>584</v>
      </c>
      <c r="F88" s="43"/>
      <c r="G88" s="14">
        <f t="shared" ref="G88:G100" si="3">G87+500</f>
        <v>4000</v>
      </c>
      <c r="H88" s="45"/>
      <c r="I88" s="171"/>
      <c r="J88" s="170"/>
    </row>
    <row r="89" spans="1:10" ht="14.3" customHeight="1" x14ac:dyDescent="0.25">
      <c r="A89" s="233"/>
      <c r="E89" s="30" t="s">
        <v>526</v>
      </c>
      <c r="F89" s="43"/>
      <c r="G89" s="14">
        <f t="shared" si="3"/>
        <v>4500</v>
      </c>
      <c r="H89" s="45"/>
      <c r="I89" s="171"/>
      <c r="J89" s="170"/>
    </row>
    <row r="90" spans="1:10" ht="14.3" customHeight="1" x14ac:dyDescent="0.25">
      <c r="A90" s="233"/>
      <c r="E90" s="30" t="s">
        <v>604</v>
      </c>
      <c r="F90" s="43"/>
      <c r="G90" s="14">
        <f t="shared" si="3"/>
        <v>5000</v>
      </c>
      <c r="H90" s="45"/>
      <c r="I90" s="171"/>
      <c r="J90" s="170"/>
    </row>
    <row r="91" spans="1:10" ht="14.3" customHeight="1" x14ac:dyDescent="0.25">
      <c r="A91" s="233"/>
      <c r="E91" s="30" t="s">
        <v>621</v>
      </c>
      <c r="F91" s="43"/>
      <c r="G91" s="14">
        <f t="shared" si="3"/>
        <v>5500</v>
      </c>
      <c r="H91" s="45"/>
      <c r="I91" s="171"/>
      <c r="J91" s="170"/>
    </row>
    <row r="92" spans="1:10" ht="14.3" customHeight="1" x14ac:dyDescent="0.25">
      <c r="A92" s="233"/>
      <c r="E92" s="30" t="s">
        <v>587</v>
      </c>
      <c r="F92" s="43"/>
      <c r="G92" s="14">
        <f t="shared" si="3"/>
        <v>6000</v>
      </c>
      <c r="H92" s="45"/>
      <c r="I92" s="171"/>
      <c r="J92" s="170"/>
    </row>
    <row r="93" spans="1:10" ht="14.3" customHeight="1" x14ac:dyDescent="0.25">
      <c r="A93" s="233"/>
      <c r="E93" s="30" t="s">
        <v>543</v>
      </c>
      <c r="F93" s="43"/>
      <c r="G93" s="14">
        <f t="shared" si="3"/>
        <v>6500</v>
      </c>
      <c r="H93" s="45"/>
      <c r="I93" s="171"/>
      <c r="J93" s="170"/>
    </row>
    <row r="94" spans="1:10" ht="14.3" customHeight="1" x14ac:dyDescent="0.25">
      <c r="A94" s="233"/>
      <c r="E94" s="30" t="s">
        <v>611</v>
      </c>
      <c r="F94" s="43"/>
      <c r="G94" s="14">
        <f t="shared" si="3"/>
        <v>7000</v>
      </c>
      <c r="H94" s="45"/>
      <c r="I94" s="171"/>
      <c r="J94" s="170"/>
    </row>
    <row r="95" spans="1:10" ht="14.3" customHeight="1" x14ac:dyDescent="0.25">
      <c r="A95" s="233"/>
      <c r="E95" s="30" t="s">
        <v>617</v>
      </c>
      <c r="F95" s="43"/>
      <c r="G95" s="14">
        <f t="shared" si="3"/>
        <v>7500</v>
      </c>
      <c r="H95" s="45"/>
      <c r="I95" s="171"/>
      <c r="J95" s="170"/>
    </row>
    <row r="96" spans="1:10" ht="14.3" customHeight="1" x14ac:dyDescent="0.25">
      <c r="A96" s="233"/>
      <c r="E96" s="30" t="s">
        <v>616</v>
      </c>
      <c r="F96" s="43"/>
      <c r="G96" s="14">
        <f t="shared" si="3"/>
        <v>8000</v>
      </c>
      <c r="H96" s="45"/>
      <c r="I96" s="171"/>
      <c r="J96" s="170"/>
    </row>
    <row r="97" spans="1:10" ht="14.3" customHeight="1" x14ac:dyDescent="0.25">
      <c r="A97" s="233"/>
      <c r="E97" s="30" t="s">
        <v>600</v>
      </c>
      <c r="F97" s="43"/>
      <c r="G97" s="14">
        <f t="shared" si="3"/>
        <v>8500</v>
      </c>
      <c r="H97" s="45"/>
      <c r="I97" s="171"/>
      <c r="J97" s="170"/>
    </row>
    <row r="98" spans="1:10" ht="14.3" customHeight="1" x14ac:dyDescent="0.25">
      <c r="A98" s="233"/>
      <c r="E98" s="30" t="s">
        <v>48</v>
      </c>
      <c r="F98" s="43"/>
      <c r="G98" s="14">
        <f t="shared" si="3"/>
        <v>9000</v>
      </c>
      <c r="H98" s="45"/>
      <c r="I98" s="171"/>
      <c r="J98" s="170"/>
    </row>
    <row r="99" spans="1:10" ht="14.3" customHeight="1" x14ac:dyDescent="0.25">
      <c r="A99" s="233"/>
      <c r="E99" s="30" t="s">
        <v>597</v>
      </c>
      <c r="F99" s="43"/>
      <c r="G99" s="14">
        <f t="shared" si="3"/>
        <v>9500</v>
      </c>
      <c r="H99" s="45"/>
      <c r="I99" s="171"/>
      <c r="J99" s="170"/>
    </row>
    <row r="100" spans="1:10" ht="14.3" customHeight="1" x14ac:dyDescent="0.25">
      <c r="A100" s="233"/>
      <c r="E100" s="30" t="s">
        <v>36</v>
      </c>
      <c r="F100" s="43"/>
      <c r="G100" s="14">
        <f t="shared" si="3"/>
        <v>10000</v>
      </c>
      <c r="H100" s="45"/>
      <c r="I100" s="171"/>
      <c r="J100" s="170"/>
    </row>
    <row r="101" spans="1:10" ht="14.3" customHeight="1" x14ac:dyDescent="0.25">
      <c r="A101" s="233"/>
      <c r="E101" s="30" t="s">
        <v>574</v>
      </c>
      <c r="F101" s="43"/>
      <c r="G101" s="14" t="s">
        <v>524</v>
      </c>
      <c r="H101" s="45"/>
      <c r="I101" s="171"/>
      <c r="J101" s="170"/>
    </row>
    <row r="102" spans="1:10" ht="14.3" customHeight="1" x14ac:dyDescent="0.25">
      <c r="A102" s="233"/>
      <c r="E102" s="30" t="s">
        <v>599</v>
      </c>
      <c r="F102" s="43"/>
      <c r="I102" s="171"/>
      <c r="J102" s="170"/>
    </row>
    <row r="103" spans="1:10" ht="14.3" customHeight="1" x14ac:dyDescent="0.25">
      <c r="A103" s="233"/>
      <c r="E103" s="30" t="s">
        <v>544</v>
      </c>
      <c r="F103" s="43"/>
      <c r="I103" s="171"/>
      <c r="J103" s="170"/>
    </row>
    <row r="104" spans="1:10" ht="14.3" customHeight="1" x14ac:dyDescent="0.25">
      <c r="A104" s="233"/>
      <c r="E104" s="30" t="s">
        <v>155</v>
      </c>
      <c r="F104" s="43"/>
      <c r="I104" s="171"/>
      <c r="J104" s="170"/>
    </row>
    <row r="105" spans="1:10" ht="14.3" customHeight="1" x14ac:dyDescent="0.25">
      <c r="A105" s="233"/>
      <c r="E105" s="30" t="s">
        <v>144</v>
      </c>
      <c r="F105" s="43"/>
      <c r="I105" s="171"/>
      <c r="J105" s="170"/>
    </row>
    <row r="106" spans="1:10" ht="14.3" customHeight="1" x14ac:dyDescent="0.25">
      <c r="A106" s="233"/>
      <c r="E106" s="30" t="s">
        <v>284</v>
      </c>
      <c r="F106" s="43"/>
      <c r="I106" s="171"/>
      <c r="J106" s="170"/>
    </row>
    <row r="107" spans="1:10" ht="14.3" customHeight="1" x14ac:dyDescent="0.25">
      <c r="A107" s="233"/>
      <c r="E107" s="30" t="s">
        <v>1315</v>
      </c>
      <c r="F107" s="43"/>
      <c r="I107" s="171"/>
      <c r="J107" s="170"/>
    </row>
    <row r="108" spans="1:10" ht="14.3" customHeight="1" x14ac:dyDescent="0.25">
      <c r="A108" s="233"/>
      <c r="E108" s="30" t="s">
        <v>614</v>
      </c>
      <c r="F108" s="43"/>
      <c r="I108" s="171"/>
      <c r="J108" s="170"/>
    </row>
    <row r="109" spans="1:10" ht="14.3" customHeight="1" x14ac:dyDescent="0.25">
      <c r="A109" s="233"/>
      <c r="E109" s="30" t="s">
        <v>545</v>
      </c>
      <c r="F109" s="43"/>
      <c r="I109" s="171"/>
      <c r="J109" s="170"/>
    </row>
    <row r="110" spans="1:10" ht="14.3" customHeight="1" x14ac:dyDescent="0.25">
      <c r="A110" s="233"/>
      <c r="E110" s="30" t="s">
        <v>624</v>
      </c>
      <c r="F110" s="43"/>
      <c r="I110" s="171"/>
      <c r="J110" s="170"/>
    </row>
    <row r="111" spans="1:10" ht="14.3" customHeight="1" x14ac:dyDescent="0.25">
      <c r="A111" s="233"/>
      <c r="E111" s="30" t="s">
        <v>519</v>
      </c>
      <c r="F111" s="43"/>
      <c r="I111" s="171"/>
      <c r="J111" s="170"/>
    </row>
    <row r="112" spans="1:10" ht="14.3" customHeight="1" x14ac:dyDescent="0.25">
      <c r="A112" s="233"/>
      <c r="E112" s="30" t="s">
        <v>76</v>
      </c>
      <c r="F112" s="43"/>
      <c r="I112" s="171"/>
      <c r="J112" s="170"/>
    </row>
    <row r="113" spans="1:10" ht="14.3" customHeight="1" x14ac:dyDescent="0.25">
      <c r="A113" s="233"/>
      <c r="E113" s="30" t="s">
        <v>117</v>
      </c>
      <c r="F113" s="43"/>
      <c r="I113" s="171"/>
      <c r="J113" s="170"/>
    </row>
    <row r="114" spans="1:10" ht="14.3" customHeight="1" x14ac:dyDescent="0.25">
      <c r="A114" s="233"/>
      <c r="E114" s="30" t="s">
        <v>606</v>
      </c>
      <c r="F114" s="43"/>
      <c r="I114" s="171"/>
      <c r="J114" s="170"/>
    </row>
    <row r="115" spans="1:10" ht="14.3" customHeight="1" x14ac:dyDescent="0.25">
      <c r="A115" s="233"/>
      <c r="E115" s="30" t="s">
        <v>156</v>
      </c>
      <c r="F115" s="43"/>
      <c r="I115" s="171"/>
      <c r="J115" s="170"/>
    </row>
    <row r="116" spans="1:10" ht="14.3" customHeight="1" x14ac:dyDescent="0.25">
      <c r="A116" s="233"/>
      <c r="E116" s="30" t="s">
        <v>27</v>
      </c>
      <c r="F116" s="43"/>
      <c r="I116" s="171"/>
      <c r="J116" s="170"/>
    </row>
    <row r="117" spans="1:10" ht="14.3" customHeight="1" x14ac:dyDescent="0.25">
      <c r="A117" s="233"/>
      <c r="E117" s="30" t="s">
        <v>159</v>
      </c>
      <c r="F117" s="43"/>
      <c r="I117" s="171"/>
      <c r="J117" s="170"/>
    </row>
    <row r="118" spans="1:10" ht="14.3" customHeight="1" x14ac:dyDescent="0.25">
      <c r="A118" s="233"/>
      <c r="E118" s="30" t="s">
        <v>159</v>
      </c>
      <c r="F118" s="43"/>
      <c r="I118" s="171"/>
      <c r="J118" s="170"/>
    </row>
    <row r="119" spans="1:10" ht="14.3" customHeight="1" x14ac:dyDescent="0.25">
      <c r="A119" s="233"/>
      <c r="E119" s="30" t="s">
        <v>118</v>
      </c>
      <c r="F119" s="43"/>
      <c r="I119" s="171"/>
      <c r="J119" s="170"/>
    </row>
    <row r="120" spans="1:10" ht="14.3" customHeight="1" x14ac:dyDescent="0.25">
      <c r="A120" s="233"/>
      <c r="E120" s="30" t="s">
        <v>583</v>
      </c>
      <c r="F120" s="43"/>
      <c r="I120" s="171"/>
      <c r="J120" s="170"/>
    </row>
    <row r="121" spans="1:10" ht="14.3" customHeight="1" x14ac:dyDescent="0.25">
      <c r="A121" s="233"/>
      <c r="E121" s="30" t="s">
        <v>136</v>
      </c>
      <c r="F121" s="43"/>
      <c r="I121" s="171"/>
      <c r="J121" s="170"/>
    </row>
    <row r="122" spans="1:10" ht="14.3" customHeight="1" x14ac:dyDescent="0.25">
      <c r="A122" s="233"/>
      <c r="E122" s="30" t="s">
        <v>132</v>
      </c>
      <c r="F122" s="43"/>
      <c r="I122" s="171"/>
      <c r="J122" s="170"/>
    </row>
    <row r="123" spans="1:10" ht="14.3" customHeight="1" x14ac:dyDescent="0.25">
      <c r="A123" s="233"/>
      <c r="E123" s="30" t="s">
        <v>138</v>
      </c>
      <c r="F123" s="43"/>
      <c r="I123" s="171"/>
      <c r="J123" s="170"/>
    </row>
    <row r="124" spans="1:10" ht="14.3" customHeight="1" x14ac:dyDescent="0.25">
      <c r="A124" s="233"/>
      <c r="E124" s="30" t="s">
        <v>525</v>
      </c>
      <c r="F124" s="43"/>
      <c r="I124" s="171"/>
      <c r="J124" s="170"/>
    </row>
    <row r="125" spans="1:10" ht="14.3" customHeight="1" x14ac:dyDescent="0.25">
      <c r="A125" s="233"/>
      <c r="E125" s="30" t="s">
        <v>625</v>
      </c>
      <c r="F125" s="43"/>
      <c r="I125" s="171"/>
      <c r="J125" s="170"/>
    </row>
    <row r="126" spans="1:10" ht="14.3" customHeight="1" x14ac:dyDescent="0.25">
      <c r="A126" s="233"/>
      <c r="E126" s="30" t="s">
        <v>563</v>
      </c>
      <c r="F126" s="43"/>
      <c r="I126" s="171"/>
      <c r="J126" s="170"/>
    </row>
    <row r="127" spans="1:10" ht="14.3" customHeight="1" x14ac:dyDescent="0.25">
      <c r="A127" s="233"/>
      <c r="E127" s="30" t="s">
        <v>141</v>
      </c>
      <c r="F127" s="43"/>
      <c r="I127" s="171"/>
      <c r="J127" s="170"/>
    </row>
    <row r="128" spans="1:10" ht="14.3" customHeight="1" x14ac:dyDescent="0.25">
      <c r="A128" s="233"/>
      <c r="E128" s="30" t="s">
        <v>575</v>
      </c>
      <c r="F128" s="43"/>
      <c r="I128" s="171"/>
      <c r="J128" s="170"/>
    </row>
    <row r="129" spans="1:10" ht="14.3" customHeight="1" x14ac:dyDescent="0.25">
      <c r="A129" s="233"/>
      <c r="E129" s="30" t="s">
        <v>618</v>
      </c>
      <c r="F129" s="43"/>
      <c r="I129" s="171"/>
      <c r="J129" s="170"/>
    </row>
    <row r="130" spans="1:10" ht="14.3" customHeight="1" x14ac:dyDescent="0.25">
      <c r="A130" s="233"/>
      <c r="E130" s="30" t="s">
        <v>130</v>
      </c>
      <c r="F130" s="43"/>
      <c r="I130" s="171"/>
      <c r="J130" s="170"/>
    </row>
    <row r="131" spans="1:10" ht="14.3" customHeight="1" x14ac:dyDescent="0.25">
      <c r="A131" s="233"/>
      <c r="E131" s="30" t="s">
        <v>148</v>
      </c>
      <c r="F131" s="43"/>
      <c r="I131" s="171"/>
      <c r="J131" s="170"/>
    </row>
    <row r="132" spans="1:10" ht="14.3" customHeight="1" x14ac:dyDescent="0.25">
      <c r="A132" s="233"/>
      <c r="E132" s="30" t="s">
        <v>119</v>
      </c>
      <c r="F132" s="43"/>
      <c r="I132" s="171"/>
      <c r="J132" s="170"/>
    </row>
    <row r="133" spans="1:10" ht="14.3" customHeight="1" x14ac:dyDescent="0.25">
      <c r="A133" s="233"/>
      <c r="E133" s="30" t="s">
        <v>119</v>
      </c>
      <c r="F133" s="43"/>
      <c r="I133" s="171"/>
      <c r="J133" s="170"/>
    </row>
    <row r="134" spans="1:10" ht="14.3" customHeight="1" x14ac:dyDescent="0.25">
      <c r="A134" s="233"/>
      <c r="E134" s="30" t="s">
        <v>585</v>
      </c>
      <c r="F134" s="43"/>
      <c r="I134" s="171"/>
      <c r="J134" s="170"/>
    </row>
    <row r="135" spans="1:10" ht="14.3" customHeight="1" x14ac:dyDescent="0.25">
      <c r="A135" s="233"/>
      <c r="E135" s="30" t="s">
        <v>578</v>
      </c>
      <c r="F135" s="43"/>
      <c r="I135" s="171"/>
      <c r="J135" s="170"/>
    </row>
    <row r="136" spans="1:10" ht="14.3" customHeight="1" x14ac:dyDescent="0.25">
      <c r="A136" s="233"/>
      <c r="E136" s="30" t="s">
        <v>131</v>
      </c>
      <c r="F136" s="43"/>
      <c r="I136" s="171"/>
      <c r="J136" s="170"/>
    </row>
    <row r="137" spans="1:10" ht="14.3" customHeight="1" x14ac:dyDescent="0.25">
      <c r="A137" s="233"/>
      <c r="E137" s="30" t="s">
        <v>622</v>
      </c>
      <c r="F137" s="43"/>
      <c r="I137" s="171"/>
      <c r="J137" s="170"/>
    </row>
    <row r="138" spans="1:10" ht="14.3" customHeight="1" x14ac:dyDescent="0.25">
      <c r="A138" s="233"/>
      <c r="E138" s="30" t="s">
        <v>120</v>
      </c>
      <c r="F138" s="43"/>
      <c r="I138" s="171"/>
      <c r="J138" s="170"/>
    </row>
    <row r="139" spans="1:10" ht="14.3" customHeight="1" x14ac:dyDescent="0.25">
      <c r="A139" s="233"/>
      <c r="E139" s="30" t="s">
        <v>528</v>
      </c>
      <c r="F139" s="43"/>
      <c r="I139" s="171"/>
      <c r="J139" s="170"/>
    </row>
    <row r="140" spans="1:10" ht="14.3" customHeight="1" x14ac:dyDescent="0.25">
      <c r="A140" s="233"/>
      <c r="E140" s="30" t="s">
        <v>157</v>
      </c>
      <c r="F140" s="43"/>
      <c r="I140" s="171"/>
      <c r="J140" s="170"/>
    </row>
    <row r="141" spans="1:10" ht="14.3" customHeight="1" x14ac:dyDescent="0.25">
      <c r="A141" s="233"/>
      <c r="E141" s="30" t="s">
        <v>612</v>
      </c>
      <c r="F141" s="43"/>
      <c r="I141" s="171"/>
      <c r="J141" s="170"/>
    </row>
    <row r="142" spans="1:10" ht="14.3" customHeight="1" x14ac:dyDescent="0.25">
      <c r="A142" s="233"/>
      <c r="E142" s="30" t="s">
        <v>121</v>
      </c>
      <c r="F142" s="43"/>
      <c r="I142" s="171"/>
      <c r="J142" s="170"/>
    </row>
    <row r="143" spans="1:10" ht="14.3" customHeight="1" x14ac:dyDescent="0.25">
      <c r="A143" s="233"/>
      <c r="E143" s="46" t="s">
        <v>1322</v>
      </c>
      <c r="I143" s="171"/>
      <c r="J143" s="170"/>
    </row>
    <row r="144" spans="1:10" x14ac:dyDescent="0.25">
      <c r="E144" s="120" t="s">
        <v>631</v>
      </c>
    </row>
  </sheetData>
  <mergeCells count="2">
    <mergeCell ref="B2:C2"/>
    <mergeCell ref="A3:A14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4A502-2984-4DC7-A93C-5B6DAE1EAD71}">
  <sheetPr>
    <tabColor theme="7" tint="0.59999389629810485"/>
  </sheetPr>
  <dimension ref="A2:J14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9" sqref="E9"/>
    </sheetView>
  </sheetViews>
  <sheetFormatPr defaultRowHeight="14.3" x14ac:dyDescent="0.25"/>
  <cols>
    <col min="1" max="3" width="30.625" customWidth="1"/>
    <col min="4" max="4" width="2.125" style="44" customWidth="1"/>
    <col min="5" max="5" width="30.625" customWidth="1"/>
    <col min="6" max="6" width="2.125" style="44" customWidth="1"/>
    <col min="7" max="7" width="30.625" customWidth="1"/>
    <col min="8" max="8" width="2.125" style="44" customWidth="1"/>
    <col min="9" max="10" width="30.625" customWidth="1"/>
  </cols>
  <sheetData>
    <row r="2" spans="1:10" x14ac:dyDescent="0.25">
      <c r="A2" s="52" t="s">
        <v>1</v>
      </c>
      <c r="B2" s="234" t="s">
        <v>4</v>
      </c>
      <c r="C2" s="234"/>
      <c r="D2" s="150"/>
    </row>
    <row r="3" spans="1:10" x14ac:dyDescent="0.25">
      <c r="A3" s="236" t="s">
        <v>3</v>
      </c>
      <c r="B3" s="54" t="s">
        <v>5</v>
      </c>
      <c r="C3" s="54" t="s">
        <v>6</v>
      </c>
      <c r="D3" s="150"/>
      <c r="E3" s="54" t="s">
        <v>634</v>
      </c>
      <c r="F3" s="45"/>
      <c r="G3" s="51" t="s">
        <v>630</v>
      </c>
      <c r="I3" s="51" t="s">
        <v>645</v>
      </c>
      <c r="J3" s="51" t="s">
        <v>646</v>
      </c>
    </row>
    <row r="4" spans="1:10" x14ac:dyDescent="0.25">
      <c r="A4" s="237"/>
      <c r="B4" s="235" t="s">
        <v>7</v>
      </c>
      <c r="C4" s="53">
        <v>1</v>
      </c>
      <c r="D4" s="149"/>
      <c r="E4" s="30" t="s">
        <v>122</v>
      </c>
      <c r="G4" s="14">
        <v>1</v>
      </c>
    </row>
    <row r="5" spans="1:10" x14ac:dyDescent="0.25">
      <c r="A5" s="237"/>
      <c r="B5" s="235"/>
      <c r="C5" s="53">
        <v>2</v>
      </c>
      <c r="D5" s="149"/>
      <c r="E5" s="30" t="s">
        <v>426</v>
      </c>
      <c r="G5" s="14">
        <v>2</v>
      </c>
    </row>
    <row r="6" spans="1:10" x14ac:dyDescent="0.25">
      <c r="A6" s="237"/>
      <c r="B6" s="235"/>
      <c r="C6" s="53">
        <v>3</v>
      </c>
      <c r="D6" s="149"/>
      <c r="E6" s="30" t="s">
        <v>581</v>
      </c>
      <c r="G6" s="14">
        <v>3</v>
      </c>
    </row>
    <row r="7" spans="1:10" x14ac:dyDescent="0.25">
      <c r="A7" s="237"/>
      <c r="B7" s="235"/>
      <c r="C7" s="53">
        <v>4</v>
      </c>
      <c r="D7" s="149"/>
      <c r="E7" s="30" t="s">
        <v>123</v>
      </c>
      <c r="G7" s="14">
        <v>4</v>
      </c>
    </row>
    <row r="8" spans="1:10" x14ac:dyDescent="0.25">
      <c r="A8" s="237"/>
      <c r="B8" s="235"/>
      <c r="C8" s="53">
        <v>5</v>
      </c>
      <c r="D8" s="149"/>
      <c r="E8" s="30" t="s">
        <v>96</v>
      </c>
      <c r="G8" s="14">
        <v>5</v>
      </c>
    </row>
    <row r="9" spans="1:10" x14ac:dyDescent="0.25">
      <c r="A9" s="237"/>
      <c r="B9" s="55" t="s">
        <v>635</v>
      </c>
      <c r="C9" s="53" t="s">
        <v>636</v>
      </c>
      <c r="D9" s="149"/>
      <c r="E9" s="30" t="s">
        <v>626</v>
      </c>
      <c r="G9" s="14">
        <v>6</v>
      </c>
    </row>
    <row r="10" spans="1:10" x14ac:dyDescent="0.25">
      <c r="A10" s="237"/>
      <c r="E10" s="30" t="s">
        <v>615</v>
      </c>
      <c r="G10" s="14">
        <v>7</v>
      </c>
    </row>
    <row r="11" spans="1:10" x14ac:dyDescent="0.25">
      <c r="A11" s="237"/>
      <c r="E11" s="30" t="s">
        <v>133</v>
      </c>
      <c r="G11" s="14">
        <v>8</v>
      </c>
    </row>
    <row r="12" spans="1:10" x14ac:dyDescent="0.25">
      <c r="A12" s="237"/>
      <c r="E12" s="30" t="s">
        <v>531</v>
      </c>
      <c r="G12" s="14">
        <v>9</v>
      </c>
    </row>
    <row r="13" spans="1:10" x14ac:dyDescent="0.25">
      <c r="A13" s="237"/>
      <c r="E13" s="30" t="s">
        <v>124</v>
      </c>
      <c r="G13" s="14">
        <v>10</v>
      </c>
    </row>
    <row r="14" spans="1:10" x14ac:dyDescent="0.25">
      <c r="A14" s="237"/>
      <c r="E14" s="30" t="s">
        <v>125</v>
      </c>
      <c r="G14" s="14">
        <v>11</v>
      </c>
    </row>
    <row r="15" spans="1:10" x14ac:dyDescent="0.25">
      <c r="A15" s="237"/>
      <c r="E15" s="30" t="s">
        <v>126</v>
      </c>
      <c r="G15" s="14">
        <v>12</v>
      </c>
    </row>
    <row r="16" spans="1:10" x14ac:dyDescent="0.25">
      <c r="A16" s="237"/>
      <c r="E16" s="30" t="s">
        <v>152</v>
      </c>
      <c r="G16" s="14">
        <v>13</v>
      </c>
    </row>
    <row r="17" spans="1:7" x14ac:dyDescent="0.25">
      <c r="A17" s="237"/>
      <c r="E17" s="30" t="s">
        <v>127</v>
      </c>
      <c r="G17" s="14">
        <v>14</v>
      </c>
    </row>
    <row r="18" spans="1:7" x14ac:dyDescent="0.25">
      <c r="A18" s="237"/>
      <c r="E18" s="30" t="s">
        <v>128</v>
      </c>
      <c r="G18" s="14">
        <v>15</v>
      </c>
    </row>
    <row r="19" spans="1:7" x14ac:dyDescent="0.25">
      <c r="A19" s="237"/>
      <c r="E19" s="30" t="s">
        <v>518</v>
      </c>
      <c r="G19" s="14">
        <v>16</v>
      </c>
    </row>
    <row r="20" spans="1:7" x14ac:dyDescent="0.25">
      <c r="A20" s="237"/>
      <c r="E20" s="30" t="s">
        <v>588</v>
      </c>
      <c r="G20" s="14">
        <v>17</v>
      </c>
    </row>
    <row r="21" spans="1:7" x14ac:dyDescent="0.25">
      <c r="A21" s="237"/>
      <c r="E21" s="30" t="s">
        <v>146</v>
      </c>
      <c r="G21" s="14">
        <v>18</v>
      </c>
    </row>
    <row r="22" spans="1:7" x14ac:dyDescent="0.25">
      <c r="A22" s="237"/>
      <c r="E22" s="30" t="s">
        <v>627</v>
      </c>
      <c r="G22" s="14">
        <v>19</v>
      </c>
    </row>
    <row r="23" spans="1:7" x14ac:dyDescent="0.25">
      <c r="A23" s="237"/>
      <c r="E23" s="30" t="s">
        <v>613</v>
      </c>
      <c r="G23" s="14">
        <v>20</v>
      </c>
    </row>
    <row r="24" spans="1:7" x14ac:dyDescent="0.25">
      <c r="A24" s="237"/>
      <c r="E24" s="30" t="s">
        <v>97</v>
      </c>
      <c r="G24" s="14">
        <v>21</v>
      </c>
    </row>
    <row r="25" spans="1:7" x14ac:dyDescent="0.25">
      <c r="A25" s="237"/>
      <c r="E25" s="30" t="s">
        <v>590</v>
      </c>
      <c r="G25" s="14">
        <v>22</v>
      </c>
    </row>
    <row r="26" spans="1:7" x14ac:dyDescent="0.25">
      <c r="A26" s="237"/>
      <c r="E26" s="30" t="s">
        <v>628</v>
      </c>
      <c r="G26" s="14">
        <v>23</v>
      </c>
    </row>
    <row r="27" spans="1:7" x14ac:dyDescent="0.25">
      <c r="A27" s="237"/>
      <c r="E27" s="30" t="s">
        <v>78</v>
      </c>
      <c r="G27" s="14">
        <v>24</v>
      </c>
    </row>
    <row r="28" spans="1:7" x14ac:dyDescent="0.25">
      <c r="A28" s="237"/>
      <c r="E28" s="30" t="s">
        <v>556</v>
      </c>
      <c r="G28" s="14">
        <v>25</v>
      </c>
    </row>
    <row r="29" spans="1:7" x14ac:dyDescent="0.25">
      <c r="A29" s="237"/>
      <c r="E29" s="30" t="s">
        <v>496</v>
      </c>
      <c r="G29" s="14">
        <v>26</v>
      </c>
    </row>
    <row r="30" spans="1:7" x14ac:dyDescent="0.25">
      <c r="A30" s="237"/>
      <c r="E30" s="30" t="s">
        <v>158</v>
      </c>
      <c r="G30" s="14">
        <v>27</v>
      </c>
    </row>
    <row r="31" spans="1:7" x14ac:dyDescent="0.25">
      <c r="A31" s="237"/>
      <c r="E31" s="30" t="s">
        <v>521</v>
      </c>
      <c r="G31" s="14">
        <v>28</v>
      </c>
    </row>
    <row r="32" spans="1:7" x14ac:dyDescent="0.25">
      <c r="A32" s="237"/>
      <c r="E32" s="30" t="s">
        <v>99</v>
      </c>
      <c r="G32" s="14">
        <v>29</v>
      </c>
    </row>
    <row r="33" spans="1:7" x14ac:dyDescent="0.25">
      <c r="A33" s="237"/>
      <c r="E33" s="30" t="s">
        <v>100</v>
      </c>
      <c r="G33" s="14">
        <v>30</v>
      </c>
    </row>
    <row r="34" spans="1:7" x14ac:dyDescent="0.25">
      <c r="A34" s="237"/>
      <c r="E34" s="30" t="s">
        <v>101</v>
      </c>
      <c r="G34" s="42">
        <v>35</v>
      </c>
    </row>
    <row r="35" spans="1:7" x14ac:dyDescent="0.25">
      <c r="A35" s="237"/>
      <c r="E35" s="30" t="s">
        <v>593</v>
      </c>
      <c r="G35" s="42">
        <v>40</v>
      </c>
    </row>
    <row r="36" spans="1:7" x14ac:dyDescent="0.25">
      <c r="A36" s="237"/>
      <c r="E36" s="30" t="s">
        <v>601</v>
      </c>
      <c r="G36" s="42">
        <v>45</v>
      </c>
    </row>
    <row r="37" spans="1:7" x14ac:dyDescent="0.25">
      <c r="A37" s="237"/>
      <c r="E37" s="30" t="s">
        <v>103</v>
      </c>
      <c r="G37" s="42">
        <f>G36+5</f>
        <v>50</v>
      </c>
    </row>
    <row r="38" spans="1:7" x14ac:dyDescent="0.25">
      <c r="A38" s="237"/>
      <c r="E38" s="30" t="s">
        <v>517</v>
      </c>
      <c r="G38" s="42">
        <v>100</v>
      </c>
    </row>
    <row r="39" spans="1:7" x14ac:dyDescent="0.25">
      <c r="A39" s="237"/>
      <c r="E39" s="30" t="s">
        <v>104</v>
      </c>
      <c r="G39" s="42">
        <v>150</v>
      </c>
    </row>
    <row r="40" spans="1:7" x14ac:dyDescent="0.25">
      <c r="A40" s="237"/>
      <c r="E40" s="30" t="s">
        <v>105</v>
      </c>
      <c r="G40" s="42">
        <v>200</v>
      </c>
    </row>
    <row r="41" spans="1:7" x14ac:dyDescent="0.25">
      <c r="A41" s="237"/>
      <c r="E41" s="30" t="s">
        <v>106</v>
      </c>
      <c r="G41" s="42">
        <v>250</v>
      </c>
    </row>
    <row r="42" spans="1:7" x14ac:dyDescent="0.25">
      <c r="A42" s="237"/>
      <c r="E42" s="30" t="s">
        <v>107</v>
      </c>
      <c r="G42" s="42">
        <v>400</v>
      </c>
    </row>
    <row r="43" spans="1:7" x14ac:dyDescent="0.25">
      <c r="A43" s="237"/>
      <c r="E43" s="30" t="s">
        <v>539</v>
      </c>
      <c r="G43" s="42" t="s">
        <v>524</v>
      </c>
    </row>
    <row r="44" spans="1:7" x14ac:dyDescent="0.25">
      <c r="A44" s="237"/>
      <c r="E44" s="30" t="s">
        <v>547</v>
      </c>
    </row>
    <row r="45" spans="1:7" x14ac:dyDescent="0.25">
      <c r="A45" s="237"/>
      <c r="E45" s="30" t="s">
        <v>577</v>
      </c>
    </row>
    <row r="46" spans="1:7" x14ac:dyDescent="0.25">
      <c r="A46" s="237"/>
      <c r="E46" s="30" t="s">
        <v>108</v>
      </c>
    </row>
    <row r="47" spans="1:7" x14ac:dyDescent="0.25">
      <c r="A47" s="237"/>
      <c r="E47" s="30" t="s">
        <v>516</v>
      </c>
    </row>
    <row r="48" spans="1:7" x14ac:dyDescent="0.25">
      <c r="A48" s="237"/>
      <c r="E48" s="30" t="s">
        <v>109</v>
      </c>
    </row>
    <row r="49" spans="1:5" x14ac:dyDescent="0.25">
      <c r="A49" s="237"/>
      <c r="E49" s="30" t="s">
        <v>110</v>
      </c>
    </row>
    <row r="50" spans="1:5" x14ac:dyDescent="0.25">
      <c r="A50" s="237"/>
      <c r="E50" s="30" t="s">
        <v>558</v>
      </c>
    </row>
    <row r="51" spans="1:5" x14ac:dyDescent="0.25">
      <c r="A51" s="237"/>
      <c r="E51" s="30" t="s">
        <v>580</v>
      </c>
    </row>
    <row r="52" spans="1:5" x14ac:dyDescent="0.25">
      <c r="A52" s="237"/>
      <c r="E52" s="30" t="s">
        <v>591</v>
      </c>
    </row>
    <row r="53" spans="1:5" x14ac:dyDescent="0.25">
      <c r="A53" s="237"/>
      <c r="E53" s="30" t="s">
        <v>551</v>
      </c>
    </row>
    <row r="54" spans="1:5" x14ac:dyDescent="0.25">
      <c r="A54" s="237"/>
      <c r="E54" s="30" t="s">
        <v>153</v>
      </c>
    </row>
    <row r="55" spans="1:5" x14ac:dyDescent="0.25">
      <c r="A55" s="237"/>
      <c r="E55" s="30" t="s">
        <v>151</v>
      </c>
    </row>
    <row r="56" spans="1:5" x14ac:dyDescent="0.25">
      <c r="A56" s="237"/>
      <c r="E56" s="30" t="s">
        <v>111</v>
      </c>
    </row>
    <row r="57" spans="1:5" x14ac:dyDescent="0.25">
      <c r="A57" s="237"/>
      <c r="E57" s="30" t="s">
        <v>576</v>
      </c>
    </row>
    <row r="58" spans="1:5" x14ac:dyDescent="0.25">
      <c r="A58" s="237"/>
      <c r="E58" s="30" t="s">
        <v>520</v>
      </c>
    </row>
    <row r="59" spans="1:5" x14ac:dyDescent="0.25">
      <c r="A59" s="237"/>
      <c r="E59" s="30" t="s">
        <v>541</v>
      </c>
    </row>
    <row r="60" spans="1:5" x14ac:dyDescent="0.25">
      <c r="A60" s="237"/>
      <c r="E60" s="30" t="s">
        <v>154</v>
      </c>
    </row>
    <row r="61" spans="1:5" x14ac:dyDescent="0.25">
      <c r="A61" s="237"/>
      <c r="E61" s="30" t="s">
        <v>145</v>
      </c>
    </row>
    <row r="62" spans="1:5" x14ac:dyDescent="0.25">
      <c r="A62" s="237"/>
      <c r="E62" s="30" t="s">
        <v>535</v>
      </c>
    </row>
    <row r="63" spans="1:5" x14ac:dyDescent="0.25">
      <c r="A63" s="237"/>
      <c r="E63" s="30" t="s">
        <v>112</v>
      </c>
    </row>
    <row r="64" spans="1:5" x14ac:dyDescent="0.25">
      <c r="A64" s="237"/>
      <c r="E64" s="30" t="s">
        <v>137</v>
      </c>
    </row>
    <row r="65" spans="1:5" x14ac:dyDescent="0.25">
      <c r="A65" s="237"/>
      <c r="E65" s="30" t="s">
        <v>102</v>
      </c>
    </row>
    <row r="66" spans="1:5" x14ac:dyDescent="0.25">
      <c r="A66" s="237"/>
      <c r="E66" s="30" t="s">
        <v>592</v>
      </c>
    </row>
    <row r="67" spans="1:5" x14ac:dyDescent="0.25">
      <c r="A67" s="237"/>
      <c r="E67" s="30" t="s">
        <v>129</v>
      </c>
    </row>
    <row r="68" spans="1:5" x14ac:dyDescent="0.25">
      <c r="A68" s="237"/>
      <c r="E68" s="30" t="s">
        <v>527</v>
      </c>
    </row>
    <row r="69" spans="1:5" x14ac:dyDescent="0.25">
      <c r="A69" s="237"/>
      <c r="E69" s="30" t="s">
        <v>610</v>
      </c>
    </row>
    <row r="70" spans="1:5" x14ac:dyDescent="0.25">
      <c r="A70" s="237"/>
      <c r="E70" s="30" t="s">
        <v>532</v>
      </c>
    </row>
    <row r="71" spans="1:5" x14ac:dyDescent="0.25">
      <c r="A71" s="237"/>
      <c r="E71" s="30" t="s">
        <v>140</v>
      </c>
    </row>
    <row r="72" spans="1:5" x14ac:dyDescent="0.25">
      <c r="A72" s="237"/>
      <c r="E72" s="30" t="s">
        <v>623</v>
      </c>
    </row>
    <row r="73" spans="1:5" x14ac:dyDescent="0.25">
      <c r="A73" s="237"/>
      <c r="E73" s="30" t="s">
        <v>142</v>
      </c>
    </row>
    <row r="74" spans="1:5" x14ac:dyDescent="0.25">
      <c r="A74" s="237"/>
      <c r="E74" s="30" t="s">
        <v>149</v>
      </c>
    </row>
    <row r="75" spans="1:5" x14ac:dyDescent="0.25">
      <c r="A75" s="237"/>
      <c r="E75" s="30" t="s">
        <v>150</v>
      </c>
    </row>
    <row r="76" spans="1:5" x14ac:dyDescent="0.25">
      <c r="A76" s="237"/>
      <c r="E76" s="30" t="s">
        <v>529</v>
      </c>
    </row>
    <row r="77" spans="1:5" x14ac:dyDescent="0.25">
      <c r="A77" s="237"/>
      <c r="E77" s="30" t="s">
        <v>598</v>
      </c>
    </row>
    <row r="78" spans="1:5" x14ac:dyDescent="0.25">
      <c r="A78" s="237"/>
      <c r="E78" s="30" t="s">
        <v>143</v>
      </c>
    </row>
    <row r="79" spans="1:5" x14ac:dyDescent="0.25">
      <c r="A79" s="237"/>
      <c r="E79" s="30" t="s">
        <v>586</v>
      </c>
    </row>
    <row r="80" spans="1:5" x14ac:dyDescent="0.25">
      <c r="A80" s="237"/>
      <c r="E80" s="30" t="s">
        <v>134</v>
      </c>
    </row>
    <row r="81" spans="1:5" x14ac:dyDescent="0.25">
      <c r="A81" s="237"/>
      <c r="E81" s="30" t="s">
        <v>534</v>
      </c>
    </row>
    <row r="82" spans="1:5" x14ac:dyDescent="0.25">
      <c r="A82" s="237"/>
      <c r="E82" s="30" t="s">
        <v>113</v>
      </c>
    </row>
    <row r="83" spans="1:5" x14ac:dyDescent="0.25">
      <c r="A83" s="237"/>
      <c r="E83" s="30" t="s">
        <v>266</v>
      </c>
    </row>
    <row r="84" spans="1:5" x14ac:dyDescent="0.25">
      <c r="A84" s="237"/>
      <c r="E84" s="30" t="s">
        <v>619</v>
      </c>
    </row>
    <row r="85" spans="1:5" x14ac:dyDescent="0.25">
      <c r="A85" s="237"/>
      <c r="E85" s="30" t="s">
        <v>115</v>
      </c>
    </row>
    <row r="86" spans="1:5" x14ac:dyDescent="0.25">
      <c r="A86" s="237"/>
      <c r="E86" s="30" t="s">
        <v>116</v>
      </c>
    </row>
    <row r="87" spans="1:5" x14ac:dyDescent="0.25">
      <c r="A87" s="237"/>
      <c r="E87" s="30" t="s">
        <v>620</v>
      </c>
    </row>
    <row r="88" spans="1:5" x14ac:dyDescent="0.25">
      <c r="A88" s="237"/>
      <c r="E88" s="30" t="s">
        <v>584</v>
      </c>
    </row>
    <row r="89" spans="1:5" x14ac:dyDescent="0.25">
      <c r="A89" s="237"/>
      <c r="E89" s="30" t="s">
        <v>526</v>
      </c>
    </row>
    <row r="90" spans="1:5" x14ac:dyDescent="0.25">
      <c r="A90" s="237"/>
      <c r="E90" s="30" t="s">
        <v>604</v>
      </c>
    </row>
    <row r="91" spans="1:5" x14ac:dyDescent="0.25">
      <c r="A91" s="237"/>
      <c r="E91" s="30" t="s">
        <v>621</v>
      </c>
    </row>
    <row r="92" spans="1:5" x14ac:dyDescent="0.25">
      <c r="A92" s="237"/>
      <c r="E92" s="30" t="s">
        <v>587</v>
      </c>
    </row>
    <row r="93" spans="1:5" x14ac:dyDescent="0.25">
      <c r="A93" s="237"/>
      <c r="E93" s="30" t="s">
        <v>543</v>
      </c>
    </row>
    <row r="94" spans="1:5" x14ac:dyDescent="0.25">
      <c r="A94" s="237"/>
      <c r="E94" s="30" t="s">
        <v>611</v>
      </c>
    </row>
    <row r="95" spans="1:5" x14ac:dyDescent="0.25">
      <c r="A95" s="237"/>
      <c r="E95" s="30" t="s">
        <v>617</v>
      </c>
    </row>
    <row r="96" spans="1:5" x14ac:dyDescent="0.25">
      <c r="A96" s="237"/>
      <c r="E96" s="30" t="s">
        <v>616</v>
      </c>
    </row>
    <row r="97" spans="1:5" x14ac:dyDescent="0.25">
      <c r="A97" s="237"/>
      <c r="E97" s="30" t="s">
        <v>600</v>
      </c>
    </row>
    <row r="98" spans="1:5" x14ac:dyDescent="0.25">
      <c r="A98" s="237"/>
      <c r="E98" s="30" t="s">
        <v>48</v>
      </c>
    </row>
    <row r="99" spans="1:5" x14ac:dyDescent="0.25">
      <c r="A99" s="237"/>
      <c r="E99" s="30" t="s">
        <v>597</v>
      </c>
    </row>
    <row r="100" spans="1:5" x14ac:dyDescent="0.25">
      <c r="A100" s="237"/>
      <c r="E100" s="30" t="s">
        <v>36</v>
      </c>
    </row>
    <row r="101" spans="1:5" x14ac:dyDescent="0.25">
      <c r="A101" s="237"/>
      <c r="E101" s="30" t="s">
        <v>574</v>
      </c>
    </row>
    <row r="102" spans="1:5" x14ac:dyDescent="0.25">
      <c r="A102" s="237"/>
      <c r="E102" s="30" t="s">
        <v>599</v>
      </c>
    </row>
    <row r="103" spans="1:5" x14ac:dyDescent="0.25">
      <c r="A103" s="237"/>
      <c r="E103" s="30" t="s">
        <v>544</v>
      </c>
    </row>
    <row r="104" spans="1:5" x14ac:dyDescent="0.25">
      <c r="A104" s="237"/>
      <c r="E104" s="30" t="s">
        <v>155</v>
      </c>
    </row>
    <row r="105" spans="1:5" x14ac:dyDescent="0.25">
      <c r="A105" s="237"/>
      <c r="E105" s="30" t="s">
        <v>144</v>
      </c>
    </row>
    <row r="106" spans="1:5" x14ac:dyDescent="0.25">
      <c r="A106" s="237"/>
      <c r="E106" s="30" t="s">
        <v>87</v>
      </c>
    </row>
    <row r="107" spans="1:5" x14ac:dyDescent="0.25">
      <c r="A107" s="237"/>
      <c r="E107" s="30" t="s">
        <v>614</v>
      </c>
    </row>
    <row r="108" spans="1:5" x14ac:dyDescent="0.25">
      <c r="A108" s="237"/>
      <c r="E108" s="30" t="s">
        <v>545</v>
      </c>
    </row>
    <row r="109" spans="1:5" x14ac:dyDescent="0.25">
      <c r="A109" s="237"/>
      <c r="E109" s="30" t="s">
        <v>624</v>
      </c>
    </row>
    <row r="110" spans="1:5" x14ac:dyDescent="0.25">
      <c r="A110" s="237"/>
      <c r="E110" s="30" t="s">
        <v>519</v>
      </c>
    </row>
    <row r="111" spans="1:5" x14ac:dyDescent="0.25">
      <c r="A111" s="237"/>
      <c r="E111" s="30" t="s">
        <v>76</v>
      </c>
    </row>
    <row r="112" spans="1:5" x14ac:dyDescent="0.25">
      <c r="A112" s="237"/>
      <c r="E112" s="30" t="s">
        <v>117</v>
      </c>
    </row>
    <row r="113" spans="1:5" x14ac:dyDescent="0.25">
      <c r="A113" s="237"/>
      <c r="E113" s="30" t="s">
        <v>606</v>
      </c>
    </row>
    <row r="114" spans="1:5" x14ac:dyDescent="0.25">
      <c r="A114" s="237"/>
      <c r="E114" s="30" t="s">
        <v>156</v>
      </c>
    </row>
    <row r="115" spans="1:5" x14ac:dyDescent="0.25">
      <c r="A115" s="237"/>
      <c r="E115" s="30" t="s">
        <v>27</v>
      </c>
    </row>
    <row r="116" spans="1:5" x14ac:dyDescent="0.25">
      <c r="A116" s="237"/>
      <c r="E116" s="30" t="s">
        <v>159</v>
      </c>
    </row>
    <row r="117" spans="1:5" x14ac:dyDescent="0.25">
      <c r="A117" s="237"/>
      <c r="E117" s="30" t="s">
        <v>159</v>
      </c>
    </row>
    <row r="118" spans="1:5" x14ac:dyDescent="0.25">
      <c r="A118" s="237"/>
      <c r="E118" s="30" t="s">
        <v>118</v>
      </c>
    </row>
    <row r="119" spans="1:5" x14ac:dyDescent="0.25">
      <c r="A119" s="237"/>
      <c r="E119" s="30" t="s">
        <v>583</v>
      </c>
    </row>
    <row r="120" spans="1:5" x14ac:dyDescent="0.25">
      <c r="A120" s="237"/>
      <c r="E120" s="30" t="s">
        <v>136</v>
      </c>
    </row>
    <row r="121" spans="1:5" x14ac:dyDescent="0.25">
      <c r="A121" s="237"/>
      <c r="E121" s="30" t="s">
        <v>132</v>
      </c>
    </row>
    <row r="122" spans="1:5" x14ac:dyDescent="0.25">
      <c r="A122" s="237"/>
      <c r="E122" s="30" t="s">
        <v>138</v>
      </c>
    </row>
    <row r="123" spans="1:5" x14ac:dyDescent="0.25">
      <c r="A123" s="237"/>
      <c r="E123" s="30" t="s">
        <v>525</v>
      </c>
    </row>
    <row r="124" spans="1:5" x14ac:dyDescent="0.25">
      <c r="A124" s="237"/>
      <c r="E124" s="30" t="s">
        <v>625</v>
      </c>
    </row>
    <row r="125" spans="1:5" x14ac:dyDescent="0.25">
      <c r="A125" s="237"/>
      <c r="E125" s="30" t="s">
        <v>563</v>
      </c>
    </row>
    <row r="126" spans="1:5" x14ac:dyDescent="0.25">
      <c r="A126" s="237"/>
      <c r="E126" s="30" t="s">
        <v>141</v>
      </c>
    </row>
    <row r="127" spans="1:5" x14ac:dyDescent="0.25">
      <c r="A127" s="237"/>
      <c r="E127" s="30" t="s">
        <v>575</v>
      </c>
    </row>
    <row r="128" spans="1:5" x14ac:dyDescent="0.25">
      <c r="A128" s="237"/>
      <c r="E128" s="30" t="s">
        <v>618</v>
      </c>
    </row>
    <row r="129" spans="1:5" x14ac:dyDescent="0.25">
      <c r="A129" s="237"/>
      <c r="E129" s="30" t="s">
        <v>130</v>
      </c>
    </row>
    <row r="130" spans="1:5" x14ac:dyDescent="0.25">
      <c r="A130" s="237"/>
      <c r="E130" s="30" t="s">
        <v>148</v>
      </c>
    </row>
    <row r="131" spans="1:5" x14ac:dyDescent="0.25">
      <c r="A131" s="237"/>
      <c r="E131" s="30" t="s">
        <v>119</v>
      </c>
    </row>
    <row r="132" spans="1:5" x14ac:dyDescent="0.25">
      <c r="A132" s="237"/>
      <c r="E132" s="30" t="s">
        <v>119</v>
      </c>
    </row>
    <row r="133" spans="1:5" x14ac:dyDescent="0.25">
      <c r="A133" s="237"/>
      <c r="E133" s="30" t="s">
        <v>585</v>
      </c>
    </row>
    <row r="134" spans="1:5" x14ac:dyDescent="0.25">
      <c r="A134" s="237"/>
      <c r="E134" s="30" t="s">
        <v>578</v>
      </c>
    </row>
    <row r="135" spans="1:5" x14ac:dyDescent="0.25">
      <c r="A135" s="237"/>
      <c r="E135" s="30" t="s">
        <v>131</v>
      </c>
    </row>
    <row r="136" spans="1:5" x14ac:dyDescent="0.25">
      <c r="A136" s="237"/>
      <c r="E136" s="30" t="s">
        <v>622</v>
      </c>
    </row>
    <row r="137" spans="1:5" x14ac:dyDescent="0.25">
      <c r="A137" s="237"/>
      <c r="E137" s="30" t="s">
        <v>120</v>
      </c>
    </row>
    <row r="138" spans="1:5" x14ac:dyDescent="0.25">
      <c r="A138" s="237"/>
      <c r="E138" s="30" t="s">
        <v>528</v>
      </c>
    </row>
    <row r="139" spans="1:5" x14ac:dyDescent="0.25">
      <c r="A139" s="237"/>
      <c r="E139" s="30" t="s">
        <v>157</v>
      </c>
    </row>
    <row r="140" spans="1:5" x14ac:dyDescent="0.25">
      <c r="A140" s="237"/>
      <c r="E140" s="30" t="s">
        <v>612</v>
      </c>
    </row>
    <row r="141" spans="1:5" x14ac:dyDescent="0.25">
      <c r="A141" s="237"/>
      <c r="E141" s="30" t="s">
        <v>121</v>
      </c>
    </row>
    <row r="142" spans="1:5" x14ac:dyDescent="0.25">
      <c r="A142" s="237"/>
      <c r="E142" s="164" t="s">
        <v>631</v>
      </c>
    </row>
  </sheetData>
  <mergeCells count="3">
    <mergeCell ref="B2:C2"/>
    <mergeCell ref="B4:B8"/>
    <mergeCell ref="A3:A14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CE356-368A-46BE-BE0A-5FBC220F776E}">
  <sheetPr>
    <tabColor theme="5" tint="0.39997558519241921"/>
  </sheetPr>
  <dimension ref="A2:J14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1" sqref="C11"/>
    </sheetView>
  </sheetViews>
  <sheetFormatPr defaultRowHeight="14.3" x14ac:dyDescent="0.25"/>
  <cols>
    <col min="1" max="3" width="30.625" customWidth="1"/>
    <col min="4" max="4" width="5.625" style="44" customWidth="1"/>
    <col min="5" max="5" width="30.625" customWidth="1"/>
    <col min="6" max="6" width="5.625" style="44" customWidth="1"/>
    <col min="7" max="7" width="30.625" customWidth="1"/>
    <col min="8" max="8" width="5.625" style="44" customWidth="1"/>
    <col min="9" max="10" width="30.625" customWidth="1"/>
  </cols>
  <sheetData>
    <row r="2" spans="1:10" x14ac:dyDescent="0.25">
      <c r="A2" s="58" t="s">
        <v>1</v>
      </c>
      <c r="B2" s="238" t="s">
        <v>4</v>
      </c>
      <c r="C2" s="238"/>
      <c r="D2" s="150"/>
      <c r="E2" s="154"/>
      <c r="F2" s="148"/>
      <c r="G2" s="154"/>
      <c r="H2" s="148"/>
    </row>
    <row r="3" spans="1:10" x14ac:dyDescent="0.25">
      <c r="A3" s="239" t="s">
        <v>637</v>
      </c>
      <c r="B3" s="166" t="s">
        <v>5</v>
      </c>
      <c r="C3" s="151" t="s">
        <v>6</v>
      </c>
      <c r="D3" s="149"/>
      <c r="E3" s="60" t="s">
        <v>634</v>
      </c>
      <c r="F3" s="149"/>
      <c r="G3" s="60" t="s">
        <v>638</v>
      </c>
      <c r="H3" s="150"/>
      <c r="I3" s="60" t="s">
        <v>645</v>
      </c>
      <c r="J3" s="60" t="s">
        <v>646</v>
      </c>
    </row>
    <row r="4" spans="1:10" x14ac:dyDescent="0.25">
      <c r="A4" s="239"/>
      <c r="B4" s="161" t="s">
        <v>7</v>
      </c>
      <c r="C4" s="61">
        <v>-1</v>
      </c>
      <c r="D4" s="45"/>
      <c r="E4" s="30" t="s">
        <v>122</v>
      </c>
      <c r="F4" s="43"/>
      <c r="G4" s="14">
        <v>1</v>
      </c>
      <c r="H4" s="45"/>
    </row>
    <row r="5" spans="1:10" x14ac:dyDescent="0.25">
      <c r="A5" s="239"/>
      <c r="C5" s="61">
        <v>-2</v>
      </c>
      <c r="D5" s="45"/>
      <c r="E5" s="30" t="s">
        <v>426</v>
      </c>
      <c r="F5" s="43"/>
      <c r="G5" s="14">
        <v>2</v>
      </c>
      <c r="H5" s="45"/>
    </row>
    <row r="6" spans="1:10" x14ac:dyDescent="0.25">
      <c r="A6" s="239"/>
      <c r="C6" s="61">
        <v>-3</v>
      </c>
      <c r="D6" s="45"/>
      <c r="E6" s="30" t="s">
        <v>581</v>
      </c>
      <c r="F6" s="43"/>
      <c r="G6" s="14">
        <v>3</v>
      </c>
      <c r="H6" s="45"/>
    </row>
    <row r="7" spans="1:10" x14ac:dyDescent="0.25">
      <c r="A7" s="239"/>
      <c r="C7" s="61">
        <v>-4</v>
      </c>
      <c r="D7" s="45"/>
      <c r="E7" s="30" t="s">
        <v>123</v>
      </c>
      <c r="F7" s="43"/>
      <c r="G7" s="14">
        <v>4</v>
      </c>
      <c r="H7" s="45"/>
    </row>
    <row r="8" spans="1:10" x14ac:dyDescent="0.25">
      <c r="A8" s="239"/>
      <c r="C8" s="61">
        <v>-5</v>
      </c>
      <c r="D8" s="45"/>
      <c r="E8" s="30" t="s">
        <v>96</v>
      </c>
      <c r="F8" s="43"/>
      <c r="G8" s="14">
        <v>5</v>
      </c>
      <c r="H8" s="45"/>
    </row>
    <row r="9" spans="1:10" x14ac:dyDescent="0.25">
      <c r="A9" s="239"/>
      <c r="C9" s="61">
        <v>-6</v>
      </c>
      <c r="D9" s="45"/>
      <c r="E9" s="30" t="s">
        <v>626</v>
      </c>
      <c r="F9" s="43"/>
      <c r="G9" s="14">
        <v>6</v>
      </c>
      <c r="H9" s="45"/>
    </row>
    <row r="10" spans="1:10" x14ac:dyDescent="0.25">
      <c r="A10" s="239"/>
      <c r="C10" s="61">
        <v>-7</v>
      </c>
      <c r="D10" s="45"/>
      <c r="E10" s="30" t="s">
        <v>615</v>
      </c>
      <c r="F10" s="43"/>
      <c r="G10" s="14">
        <v>7</v>
      </c>
      <c r="H10" s="45"/>
    </row>
    <row r="11" spans="1:10" x14ac:dyDescent="0.25">
      <c r="A11" s="239"/>
      <c r="C11" s="61">
        <v>-8</v>
      </c>
      <c r="D11" s="45"/>
      <c r="E11" s="30" t="s">
        <v>133</v>
      </c>
      <c r="F11" s="43"/>
      <c r="G11" s="14">
        <v>8</v>
      </c>
      <c r="H11" s="45"/>
    </row>
    <row r="12" spans="1:10" x14ac:dyDescent="0.25">
      <c r="A12" s="239"/>
      <c r="C12" s="61">
        <v>-9</v>
      </c>
      <c r="D12" s="45"/>
      <c r="E12" s="30" t="s">
        <v>531</v>
      </c>
      <c r="F12" s="43"/>
      <c r="G12" s="14">
        <v>9</v>
      </c>
      <c r="H12" s="45"/>
    </row>
    <row r="13" spans="1:10" x14ac:dyDescent="0.25">
      <c r="A13" s="239"/>
      <c r="C13" s="61">
        <v>-10</v>
      </c>
      <c r="D13" s="45"/>
      <c r="E13" s="30" t="s">
        <v>124</v>
      </c>
      <c r="F13" s="43"/>
      <c r="G13" s="14">
        <v>10</v>
      </c>
      <c r="H13" s="45"/>
    </row>
    <row r="14" spans="1:10" x14ac:dyDescent="0.25">
      <c r="A14" s="239"/>
      <c r="C14" s="61">
        <v>-11</v>
      </c>
      <c r="D14" s="45"/>
      <c r="E14" s="30" t="s">
        <v>125</v>
      </c>
      <c r="F14" s="43"/>
      <c r="G14" s="14">
        <v>11</v>
      </c>
      <c r="H14" s="45"/>
    </row>
    <row r="15" spans="1:10" x14ac:dyDescent="0.25">
      <c r="A15" s="239"/>
      <c r="C15" s="61">
        <v>-12</v>
      </c>
      <c r="D15" s="45"/>
      <c r="E15" s="30" t="s">
        <v>126</v>
      </c>
      <c r="F15" s="43"/>
      <c r="G15" s="14">
        <v>12</v>
      </c>
      <c r="H15" s="45"/>
    </row>
    <row r="16" spans="1:10" x14ac:dyDescent="0.25">
      <c r="A16" s="239"/>
      <c r="C16" s="61">
        <v>-13</v>
      </c>
      <c r="D16" s="45"/>
      <c r="E16" s="30" t="s">
        <v>152</v>
      </c>
      <c r="F16" s="43"/>
      <c r="G16" s="14">
        <v>13</v>
      </c>
      <c r="H16" s="45"/>
    </row>
    <row r="17" spans="1:8" x14ac:dyDescent="0.25">
      <c r="A17" s="239"/>
      <c r="C17" s="61">
        <v>-14</v>
      </c>
      <c r="D17" s="45"/>
      <c r="E17" s="30" t="s">
        <v>127</v>
      </c>
      <c r="F17" s="43"/>
      <c r="G17" s="14">
        <v>14</v>
      </c>
      <c r="H17" s="45"/>
    </row>
    <row r="18" spans="1:8" x14ac:dyDescent="0.25">
      <c r="A18" s="239"/>
      <c r="C18" s="61">
        <v>-15</v>
      </c>
      <c r="D18" s="45"/>
      <c r="E18" s="30" t="s">
        <v>128</v>
      </c>
      <c r="F18" s="43"/>
      <c r="G18" s="14">
        <v>15</v>
      </c>
      <c r="H18" s="45"/>
    </row>
    <row r="19" spans="1:8" x14ac:dyDescent="0.25">
      <c r="A19" s="239"/>
      <c r="C19" s="61">
        <v>-16</v>
      </c>
      <c r="D19" s="45"/>
      <c r="E19" s="30" t="s">
        <v>518</v>
      </c>
      <c r="F19" s="43"/>
      <c r="G19" s="14">
        <v>16</v>
      </c>
      <c r="H19" s="45"/>
    </row>
    <row r="20" spans="1:8" x14ac:dyDescent="0.25">
      <c r="A20" s="239"/>
      <c r="C20" s="61">
        <v>-17</v>
      </c>
      <c r="D20" s="45"/>
      <c r="E20" s="30" t="s">
        <v>588</v>
      </c>
      <c r="F20" s="43"/>
      <c r="G20" s="14">
        <v>17</v>
      </c>
      <c r="H20" s="45"/>
    </row>
    <row r="21" spans="1:8" x14ac:dyDescent="0.25">
      <c r="A21" s="239"/>
      <c r="C21" s="61">
        <v>-18</v>
      </c>
      <c r="D21" s="45"/>
      <c r="E21" s="30" t="s">
        <v>146</v>
      </c>
      <c r="F21" s="43"/>
      <c r="G21" s="14">
        <v>18</v>
      </c>
      <c r="H21" s="45"/>
    </row>
    <row r="22" spans="1:8" x14ac:dyDescent="0.25">
      <c r="A22" s="239"/>
      <c r="C22" s="61">
        <v>-19</v>
      </c>
      <c r="D22" s="45"/>
      <c r="E22" s="30" t="s">
        <v>627</v>
      </c>
      <c r="F22" s="43"/>
      <c r="G22" s="14">
        <v>19</v>
      </c>
      <c r="H22" s="45"/>
    </row>
    <row r="23" spans="1:8" x14ac:dyDescent="0.25">
      <c r="A23" s="239"/>
      <c r="C23" s="61">
        <v>-20</v>
      </c>
      <c r="D23" s="45"/>
      <c r="E23" s="30" t="s">
        <v>613</v>
      </c>
      <c r="F23" s="43"/>
      <c r="G23" s="14">
        <v>20</v>
      </c>
      <c r="H23" s="45"/>
    </row>
    <row r="24" spans="1:8" x14ac:dyDescent="0.25">
      <c r="A24" s="239"/>
      <c r="C24" s="61">
        <v>-25</v>
      </c>
      <c r="D24" s="45"/>
      <c r="E24" s="30" t="s">
        <v>97</v>
      </c>
      <c r="F24" s="43"/>
      <c r="G24" s="14">
        <v>21</v>
      </c>
      <c r="H24" s="45"/>
    </row>
    <row r="25" spans="1:8" x14ac:dyDescent="0.25">
      <c r="A25" s="239"/>
      <c r="C25" s="61">
        <v>-30</v>
      </c>
      <c r="D25" s="45"/>
      <c r="E25" s="30" t="s">
        <v>590</v>
      </c>
      <c r="F25" s="43"/>
      <c r="G25" s="14">
        <v>22</v>
      </c>
      <c r="H25" s="45"/>
    </row>
    <row r="26" spans="1:8" x14ac:dyDescent="0.25">
      <c r="A26" s="239"/>
      <c r="C26" s="61">
        <v>-35</v>
      </c>
      <c r="D26" s="45"/>
      <c r="E26" s="30" t="s">
        <v>628</v>
      </c>
      <c r="F26" s="43"/>
      <c r="G26" s="14">
        <v>23</v>
      </c>
      <c r="H26" s="45"/>
    </row>
    <row r="27" spans="1:8" x14ac:dyDescent="0.25">
      <c r="A27" s="239"/>
      <c r="C27" s="61">
        <v>-40</v>
      </c>
      <c r="D27" s="45"/>
      <c r="E27" s="30" t="s">
        <v>78</v>
      </c>
      <c r="F27" s="43"/>
      <c r="G27" s="14">
        <v>24</v>
      </c>
      <c r="H27" s="45"/>
    </row>
    <row r="28" spans="1:8" x14ac:dyDescent="0.25">
      <c r="A28" s="239"/>
      <c r="C28" s="61">
        <v>-50</v>
      </c>
      <c r="D28" s="45"/>
      <c r="E28" s="30" t="s">
        <v>556</v>
      </c>
      <c r="F28" s="43"/>
      <c r="G28" s="14">
        <v>25</v>
      </c>
      <c r="H28" s="45"/>
    </row>
    <row r="29" spans="1:8" x14ac:dyDescent="0.25">
      <c r="A29" s="239"/>
      <c r="E29" s="30" t="s">
        <v>496</v>
      </c>
      <c r="F29" s="43"/>
      <c r="G29" s="14">
        <v>26</v>
      </c>
      <c r="H29" s="45"/>
    </row>
    <row r="30" spans="1:8" x14ac:dyDescent="0.25">
      <c r="A30" s="239"/>
      <c r="E30" s="30" t="s">
        <v>158</v>
      </c>
      <c r="F30" s="43"/>
      <c r="G30" s="14">
        <v>27</v>
      </c>
      <c r="H30" s="45"/>
    </row>
    <row r="31" spans="1:8" x14ac:dyDescent="0.25">
      <c r="A31" s="239"/>
      <c r="E31" s="30" t="s">
        <v>521</v>
      </c>
      <c r="F31" s="43"/>
      <c r="G31" s="14">
        <v>28</v>
      </c>
      <c r="H31" s="45"/>
    </row>
    <row r="32" spans="1:8" x14ac:dyDescent="0.25">
      <c r="A32" s="239"/>
      <c r="E32" s="30" t="s">
        <v>99</v>
      </c>
      <c r="F32" s="43"/>
      <c r="G32" s="14">
        <v>29</v>
      </c>
      <c r="H32" s="45"/>
    </row>
    <row r="33" spans="1:8" x14ac:dyDescent="0.25">
      <c r="A33" s="239"/>
      <c r="E33" s="30" t="s">
        <v>100</v>
      </c>
      <c r="F33" s="43"/>
      <c r="G33" s="14">
        <v>30</v>
      </c>
      <c r="H33" s="45"/>
    </row>
    <row r="34" spans="1:8" x14ac:dyDescent="0.25">
      <c r="A34" s="239"/>
      <c r="E34" s="30" t="s">
        <v>101</v>
      </c>
      <c r="F34" s="43"/>
      <c r="G34" s="42">
        <v>35</v>
      </c>
      <c r="H34" s="45"/>
    </row>
    <row r="35" spans="1:8" x14ac:dyDescent="0.25">
      <c r="A35" s="239"/>
      <c r="E35" s="30" t="s">
        <v>593</v>
      </c>
      <c r="F35" s="43"/>
      <c r="G35" s="42">
        <v>40</v>
      </c>
      <c r="H35" s="45"/>
    </row>
    <row r="36" spans="1:8" x14ac:dyDescent="0.25">
      <c r="A36" s="239"/>
      <c r="E36" s="30" t="s">
        <v>601</v>
      </c>
      <c r="F36" s="43"/>
      <c r="G36" s="42">
        <v>45</v>
      </c>
      <c r="H36" s="45"/>
    </row>
    <row r="37" spans="1:8" x14ac:dyDescent="0.25">
      <c r="A37" s="239"/>
      <c r="E37" s="30" t="s">
        <v>103</v>
      </c>
      <c r="F37" s="43"/>
      <c r="G37" s="42">
        <f>G36+5</f>
        <v>50</v>
      </c>
      <c r="H37" s="45"/>
    </row>
    <row r="38" spans="1:8" x14ac:dyDescent="0.25">
      <c r="A38" s="239"/>
      <c r="E38" s="30" t="s">
        <v>517</v>
      </c>
      <c r="F38" s="43"/>
      <c r="G38" s="42">
        <v>60</v>
      </c>
      <c r="H38" s="45"/>
    </row>
    <row r="39" spans="1:8" x14ac:dyDescent="0.25">
      <c r="A39" s="239"/>
      <c r="E39" s="30" t="s">
        <v>104</v>
      </c>
      <c r="F39" s="43"/>
      <c r="G39" s="42">
        <v>70</v>
      </c>
      <c r="H39" s="45"/>
    </row>
    <row r="40" spans="1:8" x14ac:dyDescent="0.25">
      <c r="A40" s="239"/>
      <c r="E40" s="30" t="s">
        <v>105</v>
      </c>
      <c r="F40" s="43"/>
      <c r="G40" s="42">
        <v>75</v>
      </c>
      <c r="H40" s="45"/>
    </row>
    <row r="41" spans="1:8" x14ac:dyDescent="0.25">
      <c r="A41" s="239"/>
      <c r="E41" s="30" t="s">
        <v>106</v>
      </c>
      <c r="F41" s="43"/>
      <c r="G41" s="42">
        <v>80</v>
      </c>
      <c r="H41" s="45"/>
    </row>
    <row r="42" spans="1:8" x14ac:dyDescent="0.25">
      <c r="A42" s="239"/>
      <c r="E42" s="30" t="s">
        <v>107</v>
      </c>
      <c r="F42" s="43"/>
      <c r="G42" s="42">
        <v>85</v>
      </c>
      <c r="H42" s="45"/>
    </row>
    <row r="43" spans="1:8" x14ac:dyDescent="0.25">
      <c r="A43" s="239"/>
      <c r="E43" s="30" t="s">
        <v>539</v>
      </c>
      <c r="F43" s="43"/>
      <c r="G43" s="42">
        <v>90</v>
      </c>
      <c r="H43" s="45"/>
    </row>
    <row r="44" spans="1:8" x14ac:dyDescent="0.25">
      <c r="A44" s="239"/>
      <c r="E44" s="30" t="s">
        <v>547</v>
      </c>
      <c r="F44" s="43"/>
      <c r="G44" s="42">
        <v>100</v>
      </c>
      <c r="H44" s="45"/>
    </row>
    <row r="45" spans="1:8" x14ac:dyDescent="0.25">
      <c r="A45" s="239"/>
      <c r="E45" s="30" t="s">
        <v>577</v>
      </c>
      <c r="F45" s="43"/>
      <c r="G45" s="42">
        <v>125</v>
      </c>
      <c r="H45" s="45"/>
    </row>
    <row r="46" spans="1:8" x14ac:dyDescent="0.25">
      <c r="A46" s="239"/>
      <c r="E46" s="30" t="s">
        <v>108</v>
      </c>
      <c r="F46" s="43"/>
      <c r="G46" s="42">
        <v>150</v>
      </c>
      <c r="H46" s="45"/>
    </row>
    <row r="47" spans="1:8" x14ac:dyDescent="0.25">
      <c r="A47" s="239"/>
      <c r="E47" s="30" t="s">
        <v>516</v>
      </c>
      <c r="F47" s="43"/>
      <c r="G47" s="42">
        <v>200</v>
      </c>
      <c r="H47" s="45"/>
    </row>
    <row r="48" spans="1:8" x14ac:dyDescent="0.25">
      <c r="A48" s="239"/>
      <c r="E48" s="30" t="s">
        <v>109</v>
      </c>
      <c r="F48" s="43"/>
      <c r="G48" s="42">
        <v>250</v>
      </c>
      <c r="H48" s="45"/>
    </row>
    <row r="49" spans="1:8" x14ac:dyDescent="0.25">
      <c r="A49" s="239"/>
      <c r="E49" s="30" t="s">
        <v>110</v>
      </c>
      <c r="F49" s="43"/>
      <c r="G49" s="42">
        <v>300</v>
      </c>
      <c r="H49" s="45"/>
    </row>
    <row r="50" spans="1:8" x14ac:dyDescent="0.25">
      <c r="A50" s="239"/>
      <c r="E50" s="30" t="s">
        <v>558</v>
      </c>
      <c r="F50" s="43"/>
      <c r="G50" s="42">
        <v>400</v>
      </c>
      <c r="H50" s="45"/>
    </row>
    <row r="51" spans="1:8" x14ac:dyDescent="0.25">
      <c r="A51" s="239"/>
      <c r="E51" s="30" t="s">
        <v>580</v>
      </c>
      <c r="F51" s="43"/>
      <c r="G51" s="42">
        <v>500</v>
      </c>
      <c r="H51" s="45"/>
    </row>
    <row r="52" spans="1:8" x14ac:dyDescent="0.25">
      <c r="A52" s="239"/>
      <c r="E52" s="30" t="s">
        <v>591</v>
      </c>
      <c r="F52" s="43"/>
      <c r="G52" s="42">
        <v>750</v>
      </c>
      <c r="H52" s="45"/>
    </row>
    <row r="53" spans="1:8" x14ac:dyDescent="0.25">
      <c r="A53" s="239"/>
      <c r="E53" s="30" t="s">
        <v>551</v>
      </c>
      <c r="F53" s="43"/>
      <c r="G53" s="42">
        <v>1000</v>
      </c>
      <c r="H53" s="45"/>
    </row>
    <row r="54" spans="1:8" x14ac:dyDescent="0.25">
      <c r="A54" s="239"/>
      <c r="E54" s="30" t="s">
        <v>153</v>
      </c>
      <c r="F54" s="43"/>
      <c r="G54" s="42" t="s">
        <v>524</v>
      </c>
      <c r="H54" s="45"/>
    </row>
    <row r="55" spans="1:8" x14ac:dyDescent="0.25">
      <c r="A55" s="239"/>
      <c r="E55" s="30" t="s">
        <v>151</v>
      </c>
      <c r="F55" s="43"/>
      <c r="G55" s="45"/>
      <c r="H55" s="45"/>
    </row>
    <row r="56" spans="1:8" x14ac:dyDescent="0.25">
      <c r="A56" s="239"/>
      <c r="E56" s="30" t="s">
        <v>111</v>
      </c>
      <c r="F56" s="43"/>
      <c r="G56" s="45"/>
      <c r="H56" s="45"/>
    </row>
    <row r="57" spans="1:8" x14ac:dyDescent="0.25">
      <c r="A57" s="239"/>
      <c r="E57" s="30" t="s">
        <v>576</v>
      </c>
      <c r="F57" s="43"/>
      <c r="G57" s="45"/>
      <c r="H57" s="45"/>
    </row>
    <row r="58" spans="1:8" x14ac:dyDescent="0.25">
      <c r="A58" s="239"/>
      <c r="E58" s="30" t="s">
        <v>520</v>
      </c>
      <c r="F58" s="43"/>
      <c r="G58" s="45"/>
      <c r="H58" s="45"/>
    </row>
    <row r="59" spans="1:8" x14ac:dyDescent="0.25">
      <c r="A59" s="239"/>
      <c r="E59" s="30" t="s">
        <v>541</v>
      </c>
      <c r="F59" s="43"/>
      <c r="G59" s="45"/>
      <c r="H59" s="45"/>
    </row>
    <row r="60" spans="1:8" x14ac:dyDescent="0.25">
      <c r="A60" s="239"/>
      <c r="E60" s="30" t="s">
        <v>154</v>
      </c>
      <c r="F60" s="43"/>
      <c r="G60" s="45"/>
      <c r="H60" s="45"/>
    </row>
    <row r="61" spans="1:8" x14ac:dyDescent="0.25">
      <c r="A61" s="239"/>
      <c r="E61" s="30" t="s">
        <v>145</v>
      </c>
      <c r="F61" s="43"/>
      <c r="G61" s="37"/>
      <c r="H61" s="45"/>
    </row>
    <row r="62" spans="1:8" x14ac:dyDescent="0.25">
      <c r="A62" s="239"/>
      <c r="E62" s="30" t="s">
        <v>535</v>
      </c>
      <c r="F62" s="43"/>
      <c r="G62" s="37"/>
      <c r="H62" s="45"/>
    </row>
    <row r="63" spans="1:8" x14ac:dyDescent="0.25">
      <c r="A63" s="239"/>
      <c r="E63" s="30" t="s">
        <v>112</v>
      </c>
      <c r="F63" s="43"/>
      <c r="G63" s="37"/>
      <c r="H63" s="45"/>
    </row>
    <row r="64" spans="1:8" x14ac:dyDescent="0.25">
      <c r="A64" s="239"/>
      <c r="E64" s="30" t="s">
        <v>137</v>
      </c>
      <c r="F64" s="43"/>
      <c r="G64" s="37"/>
      <c r="H64" s="45"/>
    </row>
    <row r="65" spans="1:8" x14ac:dyDescent="0.25">
      <c r="A65" s="239"/>
      <c r="E65" s="30" t="s">
        <v>102</v>
      </c>
      <c r="F65" s="43"/>
      <c r="G65" s="37"/>
      <c r="H65" s="45"/>
    </row>
    <row r="66" spans="1:8" x14ac:dyDescent="0.25">
      <c r="A66" s="239"/>
      <c r="E66" s="30" t="s">
        <v>592</v>
      </c>
      <c r="F66" s="43"/>
      <c r="G66" s="37"/>
      <c r="H66" s="45"/>
    </row>
    <row r="67" spans="1:8" x14ac:dyDescent="0.25">
      <c r="A67" s="239"/>
      <c r="E67" s="30" t="s">
        <v>129</v>
      </c>
      <c r="F67" s="43"/>
      <c r="G67" s="37"/>
      <c r="H67" s="45"/>
    </row>
    <row r="68" spans="1:8" x14ac:dyDescent="0.25">
      <c r="A68" s="239"/>
      <c r="E68" s="30" t="s">
        <v>527</v>
      </c>
      <c r="F68" s="43"/>
      <c r="G68" s="37"/>
      <c r="H68" s="45"/>
    </row>
    <row r="69" spans="1:8" x14ac:dyDescent="0.25">
      <c r="A69" s="239"/>
      <c r="E69" s="30" t="s">
        <v>610</v>
      </c>
      <c r="F69" s="43"/>
      <c r="G69" s="37"/>
      <c r="H69" s="45"/>
    </row>
    <row r="70" spans="1:8" x14ac:dyDescent="0.25">
      <c r="A70" s="239"/>
      <c r="E70" s="30" t="s">
        <v>532</v>
      </c>
      <c r="F70" s="43"/>
      <c r="G70" s="37"/>
      <c r="H70" s="45"/>
    </row>
    <row r="71" spans="1:8" x14ac:dyDescent="0.25">
      <c r="A71" s="239"/>
      <c r="E71" s="30" t="s">
        <v>140</v>
      </c>
      <c r="F71" s="43"/>
      <c r="G71" s="37"/>
      <c r="H71" s="45"/>
    </row>
    <row r="72" spans="1:8" x14ac:dyDescent="0.25">
      <c r="A72" s="239"/>
      <c r="E72" s="30" t="s">
        <v>623</v>
      </c>
      <c r="F72" s="43"/>
      <c r="G72" s="37"/>
      <c r="H72" s="45"/>
    </row>
    <row r="73" spans="1:8" x14ac:dyDescent="0.25">
      <c r="A73" s="239"/>
      <c r="E73" s="30" t="s">
        <v>142</v>
      </c>
      <c r="F73" s="43"/>
      <c r="G73" s="37"/>
      <c r="H73" s="45"/>
    </row>
    <row r="74" spans="1:8" x14ac:dyDescent="0.25">
      <c r="A74" s="239"/>
      <c r="E74" s="30" t="s">
        <v>149</v>
      </c>
      <c r="F74" s="43"/>
      <c r="G74" s="37"/>
      <c r="H74" s="45"/>
    </row>
    <row r="75" spans="1:8" x14ac:dyDescent="0.25">
      <c r="A75" s="239"/>
      <c r="E75" s="30" t="s">
        <v>150</v>
      </c>
      <c r="F75" s="43"/>
      <c r="G75" s="37"/>
      <c r="H75" s="45"/>
    </row>
    <row r="76" spans="1:8" x14ac:dyDescent="0.25">
      <c r="A76" s="239"/>
      <c r="E76" s="30" t="s">
        <v>529</v>
      </c>
      <c r="F76" s="43"/>
      <c r="G76" s="37"/>
      <c r="H76" s="45"/>
    </row>
    <row r="77" spans="1:8" x14ac:dyDescent="0.25">
      <c r="A77" s="239"/>
      <c r="E77" s="30" t="s">
        <v>598</v>
      </c>
      <c r="F77" s="43"/>
      <c r="G77" s="37"/>
      <c r="H77" s="45"/>
    </row>
    <row r="78" spans="1:8" x14ac:dyDescent="0.25">
      <c r="A78" s="239"/>
      <c r="E78" s="30" t="s">
        <v>143</v>
      </c>
      <c r="F78" s="43"/>
      <c r="G78" s="37"/>
      <c r="H78" s="45"/>
    </row>
    <row r="79" spans="1:8" x14ac:dyDescent="0.25">
      <c r="A79" s="239"/>
      <c r="E79" s="30" t="s">
        <v>586</v>
      </c>
      <c r="F79" s="43"/>
      <c r="G79" s="37"/>
      <c r="H79" s="45"/>
    </row>
    <row r="80" spans="1:8" x14ac:dyDescent="0.25">
      <c r="A80" s="239"/>
      <c r="E80" s="30" t="s">
        <v>134</v>
      </c>
      <c r="F80" s="43"/>
      <c r="G80" s="37"/>
      <c r="H80" s="45"/>
    </row>
    <row r="81" spans="1:8" x14ac:dyDescent="0.25">
      <c r="A81" s="239"/>
      <c r="E81" s="30" t="s">
        <v>534</v>
      </c>
      <c r="F81" s="43"/>
      <c r="G81" s="37"/>
      <c r="H81" s="45"/>
    </row>
    <row r="82" spans="1:8" x14ac:dyDescent="0.25">
      <c r="A82" s="239"/>
      <c r="E82" s="30" t="s">
        <v>113</v>
      </c>
      <c r="F82" s="43"/>
      <c r="G82" s="37"/>
      <c r="H82" s="45"/>
    </row>
    <row r="83" spans="1:8" x14ac:dyDescent="0.25">
      <c r="A83" s="239"/>
      <c r="E83" s="30" t="s">
        <v>266</v>
      </c>
      <c r="F83" s="43"/>
      <c r="G83" s="37"/>
      <c r="H83" s="45"/>
    </row>
    <row r="84" spans="1:8" x14ac:dyDescent="0.25">
      <c r="A84" s="239"/>
      <c r="E84" s="30" t="s">
        <v>619</v>
      </c>
      <c r="F84" s="43"/>
      <c r="G84" s="37"/>
      <c r="H84" s="45"/>
    </row>
    <row r="85" spans="1:8" x14ac:dyDescent="0.25">
      <c r="A85" s="239"/>
      <c r="E85" s="30" t="s">
        <v>115</v>
      </c>
      <c r="F85" s="43"/>
      <c r="G85" s="37"/>
      <c r="H85" s="45"/>
    </row>
    <row r="86" spans="1:8" x14ac:dyDescent="0.25">
      <c r="A86" s="239"/>
      <c r="E86" s="30" t="s">
        <v>116</v>
      </c>
      <c r="F86" s="43"/>
      <c r="G86" s="37"/>
      <c r="H86" s="45"/>
    </row>
    <row r="87" spans="1:8" x14ac:dyDescent="0.25">
      <c r="A87" s="239"/>
      <c r="E87" s="30" t="s">
        <v>620</v>
      </c>
      <c r="F87" s="43"/>
      <c r="G87" s="37"/>
      <c r="H87" s="45"/>
    </row>
    <row r="88" spans="1:8" x14ac:dyDescent="0.25">
      <c r="A88" s="239"/>
      <c r="E88" s="30" t="s">
        <v>584</v>
      </c>
      <c r="F88" s="43"/>
      <c r="G88" s="37"/>
      <c r="H88" s="45"/>
    </row>
    <row r="89" spans="1:8" x14ac:dyDescent="0.25">
      <c r="A89" s="239"/>
      <c r="E89" s="30" t="s">
        <v>526</v>
      </c>
      <c r="F89" s="43"/>
      <c r="G89" s="37"/>
      <c r="H89" s="45"/>
    </row>
    <row r="90" spans="1:8" x14ac:dyDescent="0.25">
      <c r="A90" s="239"/>
      <c r="E90" s="30" t="s">
        <v>604</v>
      </c>
      <c r="F90" s="43"/>
      <c r="G90" s="37"/>
      <c r="H90" s="45"/>
    </row>
    <row r="91" spans="1:8" x14ac:dyDescent="0.25">
      <c r="A91" s="239"/>
      <c r="E91" s="30" t="s">
        <v>621</v>
      </c>
      <c r="F91" s="43"/>
      <c r="G91" s="37"/>
      <c r="H91" s="45"/>
    </row>
    <row r="92" spans="1:8" x14ac:dyDescent="0.25">
      <c r="A92" s="239"/>
      <c r="E92" s="30" t="s">
        <v>587</v>
      </c>
      <c r="F92" s="43"/>
      <c r="G92" s="37"/>
      <c r="H92" s="45"/>
    </row>
    <row r="93" spans="1:8" x14ac:dyDescent="0.25">
      <c r="A93" s="239"/>
      <c r="E93" s="30" t="s">
        <v>543</v>
      </c>
      <c r="F93" s="43"/>
      <c r="G93" s="37"/>
      <c r="H93" s="45"/>
    </row>
    <row r="94" spans="1:8" x14ac:dyDescent="0.25">
      <c r="A94" s="239"/>
      <c r="E94" s="30" t="s">
        <v>611</v>
      </c>
      <c r="F94" s="43"/>
      <c r="G94" s="37"/>
      <c r="H94" s="45"/>
    </row>
    <row r="95" spans="1:8" x14ac:dyDescent="0.25">
      <c r="A95" s="239"/>
      <c r="E95" s="30" t="s">
        <v>617</v>
      </c>
      <c r="F95" s="43"/>
      <c r="G95" s="37"/>
      <c r="H95" s="45"/>
    </row>
    <row r="96" spans="1:8" x14ac:dyDescent="0.25">
      <c r="A96" s="239"/>
      <c r="E96" s="30" t="s">
        <v>616</v>
      </c>
      <c r="F96" s="43"/>
      <c r="G96" s="37"/>
      <c r="H96" s="45"/>
    </row>
    <row r="97" spans="1:8" x14ac:dyDescent="0.25">
      <c r="A97" s="239"/>
      <c r="E97" s="30" t="s">
        <v>600</v>
      </c>
      <c r="F97" s="43"/>
      <c r="G97" s="37"/>
      <c r="H97" s="45"/>
    </row>
    <row r="98" spans="1:8" x14ac:dyDescent="0.25">
      <c r="A98" s="239"/>
      <c r="E98" s="30" t="s">
        <v>48</v>
      </c>
      <c r="F98" s="43"/>
      <c r="G98" s="37"/>
      <c r="H98" s="45"/>
    </row>
    <row r="99" spans="1:8" x14ac:dyDescent="0.25">
      <c r="A99" s="239"/>
      <c r="E99" s="30" t="s">
        <v>597</v>
      </c>
      <c r="F99" s="43"/>
      <c r="G99" s="37"/>
      <c r="H99" s="45"/>
    </row>
    <row r="100" spans="1:8" x14ac:dyDescent="0.25">
      <c r="A100" s="239"/>
      <c r="E100" s="30" t="s">
        <v>36</v>
      </c>
      <c r="F100" s="43"/>
      <c r="G100" s="37"/>
      <c r="H100" s="45"/>
    </row>
    <row r="101" spans="1:8" x14ac:dyDescent="0.25">
      <c r="A101" s="239"/>
      <c r="E101" s="30" t="s">
        <v>574</v>
      </c>
      <c r="F101" s="43"/>
      <c r="G101" s="37"/>
      <c r="H101" s="45"/>
    </row>
    <row r="102" spans="1:8" x14ac:dyDescent="0.25">
      <c r="A102" s="239"/>
      <c r="E102" s="30" t="s">
        <v>599</v>
      </c>
      <c r="F102" s="43"/>
    </row>
    <row r="103" spans="1:8" x14ac:dyDescent="0.25">
      <c r="A103" s="239"/>
      <c r="E103" s="30" t="s">
        <v>544</v>
      </c>
      <c r="F103" s="43"/>
    </row>
    <row r="104" spans="1:8" x14ac:dyDescent="0.25">
      <c r="A104" s="239"/>
      <c r="E104" s="30" t="s">
        <v>155</v>
      </c>
      <c r="F104" s="43"/>
    </row>
    <row r="105" spans="1:8" x14ac:dyDescent="0.25">
      <c r="A105" s="239"/>
      <c r="E105" s="30" t="s">
        <v>144</v>
      </c>
      <c r="F105" s="43"/>
    </row>
    <row r="106" spans="1:8" x14ac:dyDescent="0.25">
      <c r="A106" s="239"/>
      <c r="E106" s="30" t="s">
        <v>87</v>
      </c>
      <c r="F106" s="43"/>
    </row>
    <row r="107" spans="1:8" x14ac:dyDescent="0.25">
      <c r="A107" s="239"/>
      <c r="E107" s="30" t="s">
        <v>614</v>
      </c>
      <c r="F107" s="43"/>
    </row>
    <row r="108" spans="1:8" x14ac:dyDescent="0.25">
      <c r="A108" s="239"/>
      <c r="E108" s="30" t="s">
        <v>545</v>
      </c>
      <c r="F108" s="43"/>
    </row>
    <row r="109" spans="1:8" x14ac:dyDescent="0.25">
      <c r="A109" s="239"/>
      <c r="E109" s="30" t="s">
        <v>624</v>
      </c>
      <c r="F109" s="43"/>
    </row>
    <row r="110" spans="1:8" x14ac:dyDescent="0.25">
      <c r="A110" s="239"/>
      <c r="E110" s="30" t="s">
        <v>519</v>
      </c>
      <c r="F110" s="43"/>
    </row>
    <row r="111" spans="1:8" x14ac:dyDescent="0.25">
      <c r="A111" s="239"/>
      <c r="E111" s="30" t="s">
        <v>76</v>
      </c>
      <c r="F111" s="43"/>
    </row>
    <row r="112" spans="1:8" x14ac:dyDescent="0.25">
      <c r="A112" s="239"/>
      <c r="E112" s="30" t="s">
        <v>117</v>
      </c>
      <c r="F112" s="43"/>
    </row>
    <row r="113" spans="1:6" x14ac:dyDescent="0.25">
      <c r="A113" s="239"/>
      <c r="E113" s="30" t="s">
        <v>606</v>
      </c>
      <c r="F113" s="43"/>
    </row>
    <row r="114" spans="1:6" x14ac:dyDescent="0.25">
      <c r="A114" s="239"/>
      <c r="E114" s="30" t="s">
        <v>156</v>
      </c>
      <c r="F114" s="43"/>
    </row>
    <row r="115" spans="1:6" x14ac:dyDescent="0.25">
      <c r="A115" s="239"/>
      <c r="E115" s="30" t="s">
        <v>27</v>
      </c>
      <c r="F115" s="43"/>
    </row>
    <row r="116" spans="1:6" x14ac:dyDescent="0.25">
      <c r="A116" s="239"/>
      <c r="E116" s="30" t="s">
        <v>159</v>
      </c>
      <c r="F116" s="43"/>
    </row>
    <row r="117" spans="1:6" x14ac:dyDescent="0.25">
      <c r="A117" s="239"/>
      <c r="E117" s="30" t="s">
        <v>159</v>
      </c>
      <c r="F117" s="43"/>
    </row>
    <row r="118" spans="1:6" x14ac:dyDescent="0.25">
      <c r="A118" s="239"/>
      <c r="E118" s="30" t="s">
        <v>118</v>
      </c>
      <c r="F118" s="43"/>
    </row>
    <row r="119" spans="1:6" x14ac:dyDescent="0.25">
      <c r="A119" s="239"/>
      <c r="E119" s="30" t="s">
        <v>583</v>
      </c>
      <c r="F119" s="43"/>
    </row>
    <row r="120" spans="1:6" x14ac:dyDescent="0.25">
      <c r="A120" s="239"/>
      <c r="E120" s="30" t="s">
        <v>136</v>
      </c>
      <c r="F120" s="43"/>
    </row>
    <row r="121" spans="1:6" x14ac:dyDescent="0.25">
      <c r="A121" s="239"/>
      <c r="E121" s="30" t="s">
        <v>132</v>
      </c>
      <c r="F121" s="43"/>
    </row>
    <row r="122" spans="1:6" x14ac:dyDescent="0.25">
      <c r="A122" s="239"/>
      <c r="E122" s="30" t="s">
        <v>138</v>
      </c>
      <c r="F122" s="43"/>
    </row>
    <row r="123" spans="1:6" x14ac:dyDescent="0.25">
      <c r="A123" s="239"/>
      <c r="E123" s="30" t="s">
        <v>525</v>
      </c>
      <c r="F123" s="43"/>
    </row>
    <row r="124" spans="1:6" x14ac:dyDescent="0.25">
      <c r="A124" s="239"/>
      <c r="E124" s="30" t="s">
        <v>625</v>
      </c>
      <c r="F124" s="43"/>
    </row>
    <row r="125" spans="1:6" x14ac:dyDescent="0.25">
      <c r="A125" s="239"/>
      <c r="E125" s="30" t="s">
        <v>563</v>
      </c>
      <c r="F125" s="43"/>
    </row>
    <row r="126" spans="1:6" x14ac:dyDescent="0.25">
      <c r="A126" s="239"/>
      <c r="E126" s="30" t="s">
        <v>141</v>
      </c>
      <c r="F126" s="43"/>
    </row>
    <row r="127" spans="1:6" x14ac:dyDescent="0.25">
      <c r="A127" s="239"/>
      <c r="E127" s="30" t="s">
        <v>575</v>
      </c>
      <c r="F127" s="43"/>
    </row>
    <row r="128" spans="1:6" x14ac:dyDescent="0.25">
      <c r="A128" s="239"/>
      <c r="E128" s="30" t="s">
        <v>618</v>
      </c>
      <c r="F128" s="43"/>
    </row>
    <row r="129" spans="1:6" x14ac:dyDescent="0.25">
      <c r="A129" s="239"/>
      <c r="E129" s="30" t="s">
        <v>130</v>
      </c>
      <c r="F129" s="43"/>
    </row>
    <row r="130" spans="1:6" x14ac:dyDescent="0.25">
      <c r="A130" s="239"/>
      <c r="E130" s="30" t="s">
        <v>148</v>
      </c>
      <c r="F130" s="43"/>
    </row>
    <row r="131" spans="1:6" x14ac:dyDescent="0.25">
      <c r="A131" s="239"/>
      <c r="E131" s="30" t="s">
        <v>119</v>
      </c>
      <c r="F131" s="43"/>
    </row>
    <row r="132" spans="1:6" x14ac:dyDescent="0.25">
      <c r="A132" s="239"/>
      <c r="E132" s="30" t="s">
        <v>119</v>
      </c>
      <c r="F132" s="43"/>
    </row>
    <row r="133" spans="1:6" x14ac:dyDescent="0.25">
      <c r="A133" s="239"/>
      <c r="E133" s="30" t="s">
        <v>585</v>
      </c>
      <c r="F133" s="43"/>
    </row>
    <row r="134" spans="1:6" x14ac:dyDescent="0.25">
      <c r="A134" s="239"/>
      <c r="E134" s="30" t="s">
        <v>578</v>
      </c>
      <c r="F134" s="43"/>
    </row>
    <row r="135" spans="1:6" x14ac:dyDescent="0.25">
      <c r="A135" s="239"/>
      <c r="E135" s="30" t="s">
        <v>131</v>
      </c>
      <c r="F135" s="43"/>
    </row>
    <row r="136" spans="1:6" x14ac:dyDescent="0.25">
      <c r="A136" s="239"/>
      <c r="E136" s="30" t="s">
        <v>622</v>
      </c>
      <c r="F136" s="43"/>
    </row>
    <row r="137" spans="1:6" x14ac:dyDescent="0.25">
      <c r="A137" s="239"/>
      <c r="E137" s="30" t="s">
        <v>120</v>
      </c>
      <c r="F137" s="43"/>
    </row>
    <row r="138" spans="1:6" x14ac:dyDescent="0.25">
      <c r="A138" s="239"/>
      <c r="E138" s="30" t="s">
        <v>528</v>
      </c>
      <c r="F138" s="43"/>
    </row>
    <row r="139" spans="1:6" x14ac:dyDescent="0.25">
      <c r="A139" s="239"/>
      <c r="E139" s="30" t="s">
        <v>157</v>
      </c>
      <c r="F139" s="43"/>
    </row>
    <row r="140" spans="1:6" x14ac:dyDescent="0.25">
      <c r="A140" s="239"/>
      <c r="E140" s="30" t="s">
        <v>612</v>
      </c>
      <c r="F140" s="43"/>
    </row>
    <row r="141" spans="1:6" x14ac:dyDescent="0.25">
      <c r="A141" s="239"/>
      <c r="E141" s="30" t="s">
        <v>121</v>
      </c>
      <c r="F141" s="43"/>
    </row>
    <row r="142" spans="1:6" x14ac:dyDescent="0.25">
      <c r="A142" s="239"/>
      <c r="E142" s="155" t="s">
        <v>631</v>
      </c>
    </row>
  </sheetData>
  <sortState xmlns:xlrd2="http://schemas.microsoft.com/office/spreadsheetml/2017/richdata2" ref="B2:B454">
    <sortCondition ref="B1"/>
  </sortState>
  <mergeCells count="2">
    <mergeCell ref="B2:C2"/>
    <mergeCell ref="A3:A1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C5E01-4EF1-41B0-84B3-2FF581A576F6}">
  <sheetPr>
    <tabColor theme="4" tint="0.39997558519241921"/>
  </sheetPr>
  <dimension ref="B2:K142"/>
  <sheetViews>
    <sheetView zoomScaleNormal="100" workbookViewId="0">
      <pane ySplit="3" topLeftCell="A4" activePane="bottomLeft" state="frozen"/>
      <selection pane="bottomLeft" activeCell="J24" sqref="J24"/>
    </sheetView>
  </sheetViews>
  <sheetFormatPr defaultRowHeight="14.3" x14ac:dyDescent="0.25"/>
  <cols>
    <col min="2" max="4" width="30.625" customWidth="1"/>
    <col min="5" max="5" width="2.125" style="44" customWidth="1"/>
    <col min="6" max="6" width="30.625" customWidth="1"/>
    <col min="7" max="7" width="2.125" style="44" customWidth="1"/>
    <col min="8" max="8" width="30.625" customWidth="1"/>
    <col min="9" max="9" width="2.125" style="21" customWidth="1"/>
    <col min="10" max="11" width="30.625" customWidth="1"/>
  </cols>
  <sheetData>
    <row r="2" spans="2:11" x14ac:dyDescent="0.25">
      <c r="B2" s="58" t="s">
        <v>1</v>
      </c>
      <c r="C2" s="238" t="s">
        <v>4</v>
      </c>
      <c r="D2" s="238"/>
      <c r="E2" s="150"/>
      <c r="F2" s="154"/>
      <c r="G2" s="148"/>
      <c r="H2" s="154"/>
      <c r="I2" s="165"/>
    </row>
    <row r="3" spans="2:11" x14ac:dyDescent="0.25">
      <c r="B3" s="241" t="s">
        <v>1300</v>
      </c>
      <c r="C3" s="59" t="s">
        <v>5</v>
      </c>
      <c r="D3" s="191" t="s">
        <v>6</v>
      </c>
      <c r="E3" s="149"/>
      <c r="F3" s="60" t="s">
        <v>634</v>
      </c>
      <c r="G3" s="149"/>
      <c r="H3" s="60" t="s">
        <v>638</v>
      </c>
      <c r="I3" s="163"/>
      <c r="J3" s="60" t="s">
        <v>645</v>
      </c>
      <c r="K3" s="60" t="s">
        <v>646</v>
      </c>
    </row>
    <row r="4" spans="2:11" x14ac:dyDescent="0.25">
      <c r="B4" s="242"/>
      <c r="C4" s="240" t="s">
        <v>639</v>
      </c>
      <c r="D4" s="14">
        <v>-50</v>
      </c>
      <c r="E4" s="45"/>
      <c r="F4" s="30" t="s">
        <v>122</v>
      </c>
      <c r="G4" s="43"/>
      <c r="H4" s="14">
        <v>1</v>
      </c>
      <c r="I4" s="45"/>
    </row>
    <row r="5" spans="2:11" x14ac:dyDescent="0.25">
      <c r="B5" s="242"/>
      <c r="C5" s="240"/>
      <c r="D5" s="14">
        <v>-40</v>
      </c>
      <c r="E5" s="45"/>
      <c r="F5" s="30" t="s">
        <v>426</v>
      </c>
      <c r="G5" s="43"/>
      <c r="H5" s="14">
        <v>2</v>
      </c>
      <c r="I5" s="45"/>
    </row>
    <row r="6" spans="2:11" x14ac:dyDescent="0.25">
      <c r="B6" s="242"/>
      <c r="C6" s="240"/>
      <c r="D6" s="14">
        <v>-35</v>
      </c>
      <c r="E6" s="45"/>
      <c r="F6" s="30" t="s">
        <v>581</v>
      </c>
      <c r="G6" s="43"/>
      <c r="H6" s="14">
        <v>3</v>
      </c>
      <c r="I6" s="45"/>
    </row>
    <row r="7" spans="2:11" x14ac:dyDescent="0.25">
      <c r="B7" s="242"/>
      <c r="C7" s="240"/>
      <c r="D7" s="14">
        <v>-30</v>
      </c>
      <c r="E7" s="45"/>
      <c r="F7" s="30" t="s">
        <v>123</v>
      </c>
      <c r="G7" s="43"/>
      <c r="H7" s="14">
        <v>4</v>
      </c>
      <c r="I7" s="45"/>
    </row>
    <row r="8" spans="2:11" x14ac:dyDescent="0.25">
      <c r="B8" s="242"/>
      <c r="C8" s="240"/>
      <c r="D8" s="14">
        <v>-25</v>
      </c>
      <c r="E8" s="45"/>
      <c r="F8" s="30" t="s">
        <v>96</v>
      </c>
      <c r="G8" s="43"/>
      <c r="H8" s="14">
        <v>5</v>
      </c>
      <c r="I8" s="45"/>
    </row>
    <row r="9" spans="2:11" x14ac:dyDescent="0.25">
      <c r="B9" s="242"/>
      <c r="C9" s="240"/>
      <c r="D9" s="14">
        <v>-20</v>
      </c>
      <c r="E9" s="45"/>
      <c r="F9" s="30" t="s">
        <v>626</v>
      </c>
      <c r="G9" s="43"/>
      <c r="H9" s="14">
        <v>6</v>
      </c>
      <c r="I9" s="45"/>
    </row>
    <row r="10" spans="2:11" x14ac:dyDescent="0.25">
      <c r="B10" s="242"/>
      <c r="C10" s="240"/>
      <c r="D10" s="14">
        <v>-19</v>
      </c>
      <c r="E10" s="45"/>
      <c r="F10" s="30" t="s">
        <v>615</v>
      </c>
      <c r="G10" s="43"/>
      <c r="H10" s="14">
        <v>7</v>
      </c>
      <c r="I10" s="45"/>
    </row>
    <row r="11" spans="2:11" x14ac:dyDescent="0.25">
      <c r="B11" s="242"/>
      <c r="C11" s="240"/>
      <c r="D11" s="14">
        <v>-18</v>
      </c>
      <c r="E11" s="45"/>
      <c r="F11" s="30" t="s">
        <v>133</v>
      </c>
      <c r="G11" s="43"/>
      <c r="H11" s="14">
        <v>8</v>
      </c>
      <c r="I11" s="45"/>
    </row>
    <row r="12" spans="2:11" x14ac:dyDescent="0.25">
      <c r="B12" s="242"/>
      <c r="C12" s="240"/>
      <c r="D12" s="14">
        <v>-17</v>
      </c>
      <c r="E12" s="45"/>
      <c r="F12" s="30" t="s">
        <v>531</v>
      </c>
      <c r="G12" s="43"/>
      <c r="H12" s="14">
        <v>9</v>
      </c>
      <c r="I12" s="45"/>
    </row>
    <row r="13" spans="2:11" x14ac:dyDescent="0.25">
      <c r="B13" s="242"/>
      <c r="C13" s="240"/>
      <c r="D13" s="14">
        <v>-16</v>
      </c>
      <c r="E13" s="45"/>
      <c r="F13" s="30" t="s">
        <v>124</v>
      </c>
      <c r="G13" s="43"/>
      <c r="H13" s="14">
        <v>10</v>
      </c>
      <c r="I13" s="45"/>
    </row>
    <row r="14" spans="2:11" x14ac:dyDescent="0.25">
      <c r="B14" s="242"/>
      <c r="C14" s="240"/>
      <c r="D14" s="14">
        <v>-15</v>
      </c>
      <c r="E14" s="45"/>
      <c r="F14" s="30" t="s">
        <v>125</v>
      </c>
      <c r="G14" s="43"/>
      <c r="H14" s="14">
        <v>11</v>
      </c>
      <c r="I14" s="45"/>
    </row>
    <row r="15" spans="2:11" x14ac:dyDescent="0.25">
      <c r="B15" s="242"/>
      <c r="C15" s="240"/>
      <c r="D15" s="14">
        <v>-14</v>
      </c>
      <c r="E15" s="45"/>
      <c r="F15" s="30" t="s">
        <v>126</v>
      </c>
      <c r="G15" s="43"/>
      <c r="H15" s="14">
        <v>12</v>
      </c>
      <c r="I15" s="45"/>
    </row>
    <row r="16" spans="2:11" x14ac:dyDescent="0.25">
      <c r="B16" s="242"/>
      <c r="C16" s="240"/>
      <c r="D16" s="14">
        <v>-13</v>
      </c>
      <c r="E16" s="45"/>
      <c r="F16" s="30" t="s">
        <v>152</v>
      </c>
      <c r="G16" s="43"/>
      <c r="H16" s="14">
        <v>13</v>
      </c>
      <c r="I16" s="45"/>
    </row>
    <row r="17" spans="2:9" x14ac:dyDescent="0.25">
      <c r="B17" s="242"/>
      <c r="C17" s="240"/>
      <c r="D17" s="14">
        <v>-12</v>
      </c>
      <c r="E17" s="45"/>
      <c r="F17" s="30" t="s">
        <v>127</v>
      </c>
      <c r="G17" s="43"/>
      <c r="H17" s="14">
        <v>14</v>
      </c>
      <c r="I17" s="45"/>
    </row>
    <row r="18" spans="2:9" x14ac:dyDescent="0.25">
      <c r="B18" s="242"/>
      <c r="C18" s="240"/>
      <c r="D18" s="14">
        <v>-11</v>
      </c>
      <c r="E18" s="45"/>
      <c r="F18" s="30" t="s">
        <v>128</v>
      </c>
      <c r="G18" s="43"/>
      <c r="H18" s="14">
        <v>15</v>
      </c>
      <c r="I18" s="45"/>
    </row>
    <row r="19" spans="2:9" x14ac:dyDescent="0.25">
      <c r="B19" s="242"/>
      <c r="C19" s="240"/>
      <c r="D19" s="14">
        <v>-10</v>
      </c>
      <c r="E19" s="45"/>
      <c r="F19" s="30" t="s">
        <v>518</v>
      </c>
      <c r="G19" s="43"/>
      <c r="H19" s="14">
        <v>16</v>
      </c>
      <c r="I19" s="45"/>
    </row>
    <row r="20" spans="2:9" x14ac:dyDescent="0.25">
      <c r="B20" s="242"/>
      <c r="C20" s="240"/>
      <c r="D20" s="14">
        <v>-9</v>
      </c>
      <c r="E20" s="45"/>
      <c r="F20" s="30" t="s">
        <v>588</v>
      </c>
      <c r="G20" s="43"/>
      <c r="H20" s="14">
        <v>17</v>
      </c>
      <c r="I20" s="45"/>
    </row>
    <row r="21" spans="2:9" x14ac:dyDescent="0.25">
      <c r="B21" s="242"/>
      <c r="C21" s="240"/>
      <c r="D21" s="14">
        <v>-8</v>
      </c>
      <c r="E21" s="45"/>
      <c r="F21" s="30" t="s">
        <v>146</v>
      </c>
      <c r="G21" s="43"/>
      <c r="H21" s="14">
        <v>18</v>
      </c>
      <c r="I21" s="45"/>
    </row>
    <row r="22" spans="2:9" x14ac:dyDescent="0.25">
      <c r="B22" s="242"/>
      <c r="C22" s="240"/>
      <c r="D22" s="14">
        <v>-7</v>
      </c>
      <c r="E22" s="45"/>
      <c r="F22" s="30" t="s">
        <v>627</v>
      </c>
      <c r="G22" s="43"/>
      <c r="H22" s="14">
        <v>19</v>
      </c>
      <c r="I22" s="45"/>
    </row>
    <row r="23" spans="2:9" x14ac:dyDescent="0.25">
      <c r="B23" s="242"/>
      <c r="C23" s="240"/>
      <c r="D23" s="14">
        <v>-6</v>
      </c>
      <c r="E23" s="45"/>
      <c r="F23" s="30" t="s">
        <v>613</v>
      </c>
      <c r="G23" s="43"/>
      <c r="H23" s="14">
        <v>20</v>
      </c>
      <c r="I23" s="45"/>
    </row>
    <row r="24" spans="2:9" x14ac:dyDescent="0.25">
      <c r="B24" s="242"/>
      <c r="C24" s="240"/>
      <c r="D24" s="14">
        <v>-5</v>
      </c>
      <c r="E24" s="45"/>
      <c r="F24" s="30" t="s">
        <v>97</v>
      </c>
      <c r="G24" s="43"/>
      <c r="H24" s="14">
        <v>21</v>
      </c>
      <c r="I24" s="45"/>
    </row>
    <row r="25" spans="2:9" x14ac:dyDescent="0.25">
      <c r="B25" s="242"/>
      <c r="C25" s="240"/>
      <c r="D25" s="14">
        <v>-4</v>
      </c>
      <c r="E25" s="45"/>
      <c r="F25" s="30" t="s">
        <v>590</v>
      </c>
      <c r="G25" s="43"/>
      <c r="H25" s="14">
        <v>22</v>
      </c>
      <c r="I25" s="45"/>
    </row>
    <row r="26" spans="2:9" x14ac:dyDescent="0.25">
      <c r="B26" s="242"/>
      <c r="C26" s="240"/>
      <c r="D26" s="14">
        <v>-3</v>
      </c>
      <c r="E26" s="45"/>
      <c r="F26" s="30" t="s">
        <v>628</v>
      </c>
      <c r="G26" s="43"/>
      <c r="H26" s="14">
        <v>23</v>
      </c>
      <c r="I26" s="45"/>
    </row>
    <row r="27" spans="2:9" x14ac:dyDescent="0.25">
      <c r="B27" s="242"/>
      <c r="C27" s="240"/>
      <c r="D27" s="14">
        <v>-2</v>
      </c>
      <c r="E27" s="45"/>
      <c r="F27" s="30" t="s">
        <v>78</v>
      </c>
      <c r="G27" s="43"/>
      <c r="H27" s="14">
        <v>24</v>
      </c>
      <c r="I27" s="45"/>
    </row>
    <row r="28" spans="2:9" x14ac:dyDescent="0.25">
      <c r="B28" s="242"/>
      <c r="C28" s="240"/>
      <c r="D28" s="14">
        <v>-1</v>
      </c>
      <c r="E28" s="45"/>
      <c r="F28" s="30" t="s">
        <v>556</v>
      </c>
      <c r="G28" s="43"/>
      <c r="H28" s="14">
        <v>25</v>
      </c>
      <c r="I28" s="45"/>
    </row>
    <row r="29" spans="2:9" x14ac:dyDescent="0.25">
      <c r="B29" s="242"/>
      <c r="C29" s="240" t="s">
        <v>640</v>
      </c>
      <c r="D29" s="42">
        <v>1</v>
      </c>
      <c r="E29" s="45"/>
      <c r="F29" s="30" t="s">
        <v>496</v>
      </c>
      <c r="G29" s="43"/>
      <c r="H29" s="14">
        <v>26</v>
      </c>
      <c r="I29" s="45"/>
    </row>
    <row r="30" spans="2:9" x14ac:dyDescent="0.25">
      <c r="B30" s="242"/>
      <c r="C30" s="240"/>
      <c r="D30" s="42">
        <v>2</v>
      </c>
      <c r="E30" s="45"/>
      <c r="F30" s="30" t="s">
        <v>158</v>
      </c>
      <c r="G30" s="43"/>
      <c r="H30" s="14">
        <v>27</v>
      </c>
      <c r="I30" s="45"/>
    </row>
    <row r="31" spans="2:9" x14ac:dyDescent="0.25">
      <c r="B31" s="242"/>
      <c r="C31" s="240"/>
      <c r="D31" s="42">
        <v>3</v>
      </c>
      <c r="E31" s="45"/>
      <c r="F31" s="30" t="s">
        <v>521</v>
      </c>
      <c r="G31" s="43"/>
      <c r="H31" s="14">
        <v>28</v>
      </c>
      <c r="I31" s="45"/>
    </row>
    <row r="32" spans="2:9" x14ac:dyDescent="0.25">
      <c r="B32" s="242"/>
      <c r="C32" s="240"/>
      <c r="D32" s="42">
        <v>4</v>
      </c>
      <c r="E32" s="45"/>
      <c r="F32" s="30" t="s">
        <v>99</v>
      </c>
      <c r="G32" s="43"/>
      <c r="H32" s="14">
        <v>29</v>
      </c>
      <c r="I32" s="45"/>
    </row>
    <row r="33" spans="2:9" x14ac:dyDescent="0.25">
      <c r="B33" s="242"/>
      <c r="C33" s="240"/>
      <c r="D33" s="42">
        <v>5</v>
      </c>
      <c r="E33" s="45"/>
      <c r="F33" s="30" t="s">
        <v>100</v>
      </c>
      <c r="G33" s="43"/>
      <c r="H33" s="14">
        <v>30</v>
      </c>
      <c r="I33" s="45"/>
    </row>
    <row r="34" spans="2:9" x14ac:dyDescent="0.25">
      <c r="B34" s="242"/>
      <c r="C34" s="240"/>
      <c r="D34" s="42">
        <v>6</v>
      </c>
      <c r="E34" s="45"/>
      <c r="F34" s="30" t="s">
        <v>101</v>
      </c>
      <c r="G34" s="43"/>
      <c r="H34" s="42">
        <v>35</v>
      </c>
      <c r="I34" s="45"/>
    </row>
    <row r="35" spans="2:9" x14ac:dyDescent="0.25">
      <c r="B35" s="242"/>
      <c r="C35" s="240"/>
      <c r="D35" s="42">
        <v>7</v>
      </c>
      <c r="E35" s="45"/>
      <c r="F35" s="30" t="s">
        <v>593</v>
      </c>
      <c r="G35" s="43"/>
      <c r="H35" s="42">
        <v>40</v>
      </c>
      <c r="I35" s="45"/>
    </row>
    <row r="36" spans="2:9" x14ac:dyDescent="0.25">
      <c r="B36" s="242"/>
      <c r="C36" s="240"/>
      <c r="D36" s="42">
        <v>8</v>
      </c>
      <c r="E36" s="45"/>
      <c r="F36" s="30" t="s">
        <v>601</v>
      </c>
      <c r="G36" s="43"/>
      <c r="H36" s="42">
        <v>45</v>
      </c>
      <c r="I36" s="45"/>
    </row>
    <row r="37" spans="2:9" x14ac:dyDescent="0.25">
      <c r="B37" s="242"/>
      <c r="C37" s="240"/>
      <c r="D37" s="42">
        <v>9</v>
      </c>
      <c r="E37" s="45"/>
      <c r="F37" s="30" t="s">
        <v>103</v>
      </c>
      <c r="G37" s="43"/>
      <c r="H37" s="42">
        <f>H36+5</f>
        <v>50</v>
      </c>
      <c r="I37" s="45"/>
    </row>
    <row r="38" spans="2:9" x14ac:dyDescent="0.25">
      <c r="B38" s="242"/>
      <c r="C38" s="240"/>
      <c r="D38" s="42">
        <v>10</v>
      </c>
      <c r="E38" s="45"/>
      <c r="F38" s="30" t="s">
        <v>517</v>
      </c>
      <c r="G38" s="43"/>
      <c r="H38" s="42">
        <v>60</v>
      </c>
      <c r="I38" s="45"/>
    </row>
    <row r="39" spans="2:9" x14ac:dyDescent="0.25">
      <c r="B39" s="242"/>
      <c r="C39" s="240"/>
      <c r="D39" s="42">
        <v>11</v>
      </c>
      <c r="E39" s="45"/>
      <c r="F39" s="30" t="s">
        <v>104</v>
      </c>
      <c r="G39" s="43"/>
      <c r="H39" s="42">
        <v>70</v>
      </c>
      <c r="I39" s="45"/>
    </row>
    <row r="40" spans="2:9" x14ac:dyDescent="0.25">
      <c r="B40" s="242"/>
      <c r="C40" s="240"/>
      <c r="D40" s="42">
        <v>12</v>
      </c>
      <c r="E40" s="45"/>
      <c r="F40" s="30" t="s">
        <v>105</v>
      </c>
      <c r="G40" s="43"/>
      <c r="H40" s="42">
        <v>75</v>
      </c>
      <c r="I40" s="45"/>
    </row>
    <row r="41" spans="2:9" x14ac:dyDescent="0.25">
      <c r="B41" s="242"/>
      <c r="C41" s="240"/>
      <c r="D41" s="42">
        <v>13</v>
      </c>
      <c r="E41" s="45"/>
      <c r="F41" s="30" t="s">
        <v>106</v>
      </c>
      <c r="G41" s="43"/>
      <c r="H41" s="42">
        <v>80</v>
      </c>
      <c r="I41" s="45"/>
    </row>
    <row r="42" spans="2:9" x14ac:dyDescent="0.25">
      <c r="B42" s="242"/>
      <c r="C42" s="240"/>
      <c r="D42" s="42">
        <v>14</v>
      </c>
      <c r="E42" s="45"/>
      <c r="F42" s="30" t="s">
        <v>107</v>
      </c>
      <c r="G42" s="43"/>
      <c r="H42" s="42">
        <v>85</v>
      </c>
      <c r="I42" s="45"/>
    </row>
    <row r="43" spans="2:9" x14ac:dyDescent="0.25">
      <c r="B43" s="242"/>
      <c r="C43" s="240"/>
      <c r="D43" s="42">
        <v>15</v>
      </c>
      <c r="E43" s="45"/>
      <c r="F43" s="30" t="s">
        <v>539</v>
      </c>
      <c r="G43" s="43"/>
      <c r="H43" s="42">
        <v>90</v>
      </c>
      <c r="I43" s="45"/>
    </row>
    <row r="44" spans="2:9" x14ac:dyDescent="0.25">
      <c r="B44" s="242"/>
      <c r="C44" s="240"/>
      <c r="D44" s="42">
        <v>16</v>
      </c>
      <c r="E44" s="45"/>
      <c r="F44" s="30" t="s">
        <v>547</v>
      </c>
      <c r="G44" s="43"/>
      <c r="H44" s="42">
        <v>100</v>
      </c>
      <c r="I44" s="45"/>
    </row>
    <row r="45" spans="2:9" x14ac:dyDescent="0.25">
      <c r="B45" s="242"/>
      <c r="C45" s="240"/>
      <c r="D45" s="42">
        <v>17</v>
      </c>
      <c r="E45" s="45"/>
      <c r="F45" s="30" t="s">
        <v>577</v>
      </c>
      <c r="G45" s="43"/>
      <c r="H45" s="42">
        <v>125</v>
      </c>
      <c r="I45" s="45"/>
    </row>
    <row r="46" spans="2:9" x14ac:dyDescent="0.25">
      <c r="B46" s="242"/>
      <c r="C46" s="240"/>
      <c r="D46" s="42">
        <v>18</v>
      </c>
      <c r="E46" s="45"/>
      <c r="F46" s="30" t="s">
        <v>108</v>
      </c>
      <c r="G46" s="43"/>
      <c r="H46" s="42">
        <v>150</v>
      </c>
      <c r="I46" s="45"/>
    </row>
    <row r="47" spans="2:9" x14ac:dyDescent="0.25">
      <c r="B47" s="242"/>
      <c r="C47" s="240"/>
      <c r="D47" s="42">
        <v>19</v>
      </c>
      <c r="E47" s="45"/>
      <c r="F47" s="30" t="s">
        <v>516</v>
      </c>
      <c r="G47" s="43"/>
      <c r="H47" s="42">
        <v>200</v>
      </c>
      <c r="I47" s="45"/>
    </row>
    <row r="48" spans="2:9" x14ac:dyDescent="0.25">
      <c r="B48" s="242"/>
      <c r="C48" s="240"/>
      <c r="D48" s="42">
        <v>20</v>
      </c>
      <c r="E48" s="45"/>
      <c r="F48" s="30" t="s">
        <v>109</v>
      </c>
      <c r="G48" s="43"/>
      <c r="H48" s="42">
        <v>250</v>
      </c>
      <c r="I48" s="45"/>
    </row>
    <row r="49" spans="2:9" x14ac:dyDescent="0.25">
      <c r="B49" s="242"/>
      <c r="C49" s="240"/>
      <c r="D49" s="42">
        <v>21</v>
      </c>
      <c r="E49" s="45"/>
      <c r="F49" s="30" t="s">
        <v>110</v>
      </c>
      <c r="G49" s="43"/>
      <c r="H49" s="42">
        <v>300</v>
      </c>
      <c r="I49" s="45"/>
    </row>
    <row r="50" spans="2:9" x14ac:dyDescent="0.25">
      <c r="B50" s="242"/>
      <c r="C50" s="240"/>
      <c r="D50" s="42">
        <v>22</v>
      </c>
      <c r="E50" s="45"/>
      <c r="F50" s="30" t="s">
        <v>558</v>
      </c>
      <c r="G50" s="43"/>
      <c r="H50" s="42">
        <v>400</v>
      </c>
      <c r="I50" s="45"/>
    </row>
    <row r="51" spans="2:9" x14ac:dyDescent="0.25">
      <c r="B51" s="242"/>
      <c r="C51" s="240"/>
      <c r="D51" s="42">
        <v>23</v>
      </c>
      <c r="E51" s="45"/>
      <c r="F51" s="30" t="s">
        <v>580</v>
      </c>
      <c r="G51" s="43"/>
      <c r="H51" s="42">
        <v>500</v>
      </c>
      <c r="I51" s="45"/>
    </row>
    <row r="52" spans="2:9" x14ac:dyDescent="0.25">
      <c r="B52" s="242"/>
      <c r="C52" s="240"/>
      <c r="D52" s="42">
        <v>24</v>
      </c>
      <c r="E52" s="45"/>
      <c r="F52" s="30" t="s">
        <v>591</v>
      </c>
      <c r="G52" s="43"/>
      <c r="H52" s="42">
        <v>750</v>
      </c>
      <c r="I52" s="45"/>
    </row>
    <row r="53" spans="2:9" x14ac:dyDescent="0.25">
      <c r="B53" s="242"/>
      <c r="C53" s="240"/>
      <c r="D53" s="42">
        <v>25</v>
      </c>
      <c r="E53" s="45"/>
      <c r="F53" s="30" t="s">
        <v>551</v>
      </c>
      <c r="G53" s="43"/>
      <c r="H53" s="42">
        <v>1000</v>
      </c>
      <c r="I53" s="45"/>
    </row>
    <row r="54" spans="2:9" x14ac:dyDescent="0.25">
      <c r="B54" s="242"/>
      <c r="C54" s="240"/>
      <c r="D54" s="42">
        <v>26</v>
      </c>
      <c r="E54" s="45"/>
      <c r="F54" s="30" t="s">
        <v>153</v>
      </c>
      <c r="G54" s="43"/>
      <c r="H54" s="42" t="s">
        <v>524</v>
      </c>
      <c r="I54" s="45"/>
    </row>
    <row r="55" spans="2:9" x14ac:dyDescent="0.25">
      <c r="B55" s="242"/>
      <c r="C55" s="240"/>
      <c r="D55" s="42">
        <v>27</v>
      </c>
      <c r="E55" s="45"/>
      <c r="F55" s="30" t="s">
        <v>151</v>
      </c>
      <c r="G55" s="43"/>
      <c r="H55" s="45"/>
      <c r="I55" s="45"/>
    </row>
    <row r="56" spans="2:9" x14ac:dyDescent="0.25">
      <c r="B56" s="242"/>
      <c r="C56" s="240"/>
      <c r="D56" s="42">
        <v>28</v>
      </c>
      <c r="E56" s="45"/>
      <c r="F56" s="30" t="s">
        <v>111</v>
      </c>
      <c r="G56" s="43"/>
      <c r="H56" s="45"/>
      <c r="I56" s="45"/>
    </row>
    <row r="57" spans="2:9" x14ac:dyDescent="0.25">
      <c r="B57" s="242"/>
      <c r="C57" s="240"/>
      <c r="D57" s="42">
        <v>29</v>
      </c>
      <c r="E57" s="45"/>
      <c r="F57" s="30" t="s">
        <v>576</v>
      </c>
      <c r="G57" s="43"/>
      <c r="H57" s="45"/>
      <c r="I57" s="45"/>
    </row>
    <row r="58" spans="2:9" x14ac:dyDescent="0.25">
      <c r="B58" s="242"/>
      <c r="C58" s="240"/>
      <c r="D58" s="42">
        <v>30</v>
      </c>
      <c r="E58" s="45"/>
      <c r="F58" s="30" t="s">
        <v>520</v>
      </c>
      <c r="G58" s="43"/>
      <c r="H58" s="45"/>
      <c r="I58" s="45"/>
    </row>
    <row r="59" spans="2:9" x14ac:dyDescent="0.25">
      <c r="B59" s="242"/>
      <c r="C59" s="240"/>
      <c r="D59" s="42">
        <v>31</v>
      </c>
      <c r="E59" s="45"/>
      <c r="F59" s="30" t="s">
        <v>541</v>
      </c>
      <c r="G59" s="43"/>
      <c r="H59" s="45"/>
      <c r="I59" s="45"/>
    </row>
    <row r="60" spans="2:9" x14ac:dyDescent="0.25">
      <c r="B60" s="242"/>
      <c r="C60" s="240"/>
      <c r="D60" s="42">
        <v>32</v>
      </c>
      <c r="E60" s="45"/>
      <c r="F60" s="30" t="s">
        <v>154</v>
      </c>
      <c r="G60" s="43"/>
      <c r="H60" s="45"/>
      <c r="I60" s="45"/>
    </row>
    <row r="61" spans="2:9" x14ac:dyDescent="0.25">
      <c r="B61" s="242"/>
      <c r="C61" s="240"/>
      <c r="D61" s="42">
        <v>33</v>
      </c>
      <c r="E61" s="45"/>
      <c r="F61" s="30" t="s">
        <v>145</v>
      </c>
      <c r="G61" s="43"/>
      <c r="H61" s="37"/>
      <c r="I61" s="45"/>
    </row>
    <row r="62" spans="2:9" x14ac:dyDescent="0.25">
      <c r="B62" s="242"/>
      <c r="C62" s="240"/>
      <c r="D62" s="42">
        <v>34</v>
      </c>
      <c r="E62" s="45"/>
      <c r="F62" s="30" t="s">
        <v>535</v>
      </c>
      <c r="G62" s="43"/>
      <c r="H62" s="37"/>
      <c r="I62" s="45"/>
    </row>
    <row r="63" spans="2:9" x14ac:dyDescent="0.25">
      <c r="B63" s="242"/>
      <c r="C63" s="240"/>
      <c r="D63" s="42">
        <v>35</v>
      </c>
      <c r="E63" s="45"/>
      <c r="F63" s="30" t="s">
        <v>112</v>
      </c>
      <c r="G63" s="43"/>
      <c r="H63" s="37"/>
      <c r="I63" s="45"/>
    </row>
    <row r="64" spans="2:9" x14ac:dyDescent="0.25">
      <c r="B64" s="242"/>
      <c r="C64" s="240"/>
      <c r="D64" s="42">
        <v>36</v>
      </c>
      <c r="E64" s="45"/>
      <c r="F64" s="30" t="s">
        <v>137</v>
      </c>
      <c r="G64" s="43"/>
      <c r="H64" s="37"/>
      <c r="I64" s="45"/>
    </row>
    <row r="65" spans="2:9" x14ac:dyDescent="0.25">
      <c r="B65" s="242"/>
      <c r="C65" s="240"/>
      <c r="D65" s="42">
        <v>37</v>
      </c>
      <c r="E65" s="45"/>
      <c r="F65" s="30" t="s">
        <v>102</v>
      </c>
      <c r="G65" s="43"/>
      <c r="H65" s="37"/>
      <c r="I65" s="45"/>
    </row>
    <row r="66" spans="2:9" x14ac:dyDescent="0.25">
      <c r="B66" s="242"/>
      <c r="C66" s="240"/>
      <c r="D66" s="42">
        <v>38</v>
      </c>
      <c r="E66" s="45"/>
      <c r="F66" s="30" t="s">
        <v>592</v>
      </c>
      <c r="G66" s="43"/>
      <c r="H66" s="37"/>
      <c r="I66" s="45"/>
    </row>
    <row r="67" spans="2:9" x14ac:dyDescent="0.25">
      <c r="B67" s="242"/>
      <c r="C67" s="240"/>
      <c r="D67" s="42">
        <v>39</v>
      </c>
      <c r="E67" s="45"/>
      <c r="F67" s="30" t="s">
        <v>129</v>
      </c>
      <c r="G67" s="43"/>
      <c r="H67" s="37"/>
      <c r="I67" s="45"/>
    </row>
    <row r="68" spans="2:9" x14ac:dyDescent="0.25">
      <c r="B68" s="242"/>
      <c r="C68" s="240"/>
      <c r="D68" s="42">
        <v>40</v>
      </c>
      <c r="E68" s="45"/>
      <c r="F68" s="30" t="s">
        <v>527</v>
      </c>
      <c r="G68" s="43"/>
      <c r="H68" s="37"/>
      <c r="I68" s="45"/>
    </row>
    <row r="69" spans="2:9" x14ac:dyDescent="0.25">
      <c r="B69" s="242"/>
      <c r="C69" s="240"/>
      <c r="D69" s="42">
        <v>41</v>
      </c>
      <c r="E69" s="45"/>
      <c r="F69" s="30" t="s">
        <v>610</v>
      </c>
      <c r="G69" s="43"/>
      <c r="H69" s="37"/>
      <c r="I69" s="45"/>
    </row>
    <row r="70" spans="2:9" x14ac:dyDescent="0.25">
      <c r="B70" s="242"/>
      <c r="C70" s="240"/>
      <c r="D70" s="42">
        <v>42</v>
      </c>
      <c r="E70" s="45"/>
      <c r="F70" s="30" t="s">
        <v>532</v>
      </c>
      <c r="G70" s="43"/>
      <c r="H70" s="37"/>
      <c r="I70" s="45"/>
    </row>
    <row r="71" spans="2:9" x14ac:dyDescent="0.25">
      <c r="B71" s="242"/>
      <c r="C71" s="240"/>
      <c r="D71" s="42">
        <v>43</v>
      </c>
      <c r="E71" s="45"/>
      <c r="F71" s="30" t="s">
        <v>140</v>
      </c>
      <c r="G71" s="43"/>
      <c r="H71" s="37"/>
      <c r="I71" s="45"/>
    </row>
    <row r="72" spans="2:9" x14ac:dyDescent="0.25">
      <c r="B72" s="242"/>
      <c r="C72" s="240"/>
      <c r="D72" s="42">
        <v>44</v>
      </c>
      <c r="E72" s="45"/>
      <c r="F72" s="30" t="s">
        <v>623</v>
      </c>
      <c r="G72" s="43"/>
      <c r="H72" s="37"/>
      <c r="I72" s="45"/>
    </row>
    <row r="73" spans="2:9" x14ac:dyDescent="0.25">
      <c r="B73" s="242"/>
      <c r="C73" s="240"/>
      <c r="D73" s="42">
        <v>45</v>
      </c>
      <c r="E73" s="45"/>
      <c r="F73" s="30" t="s">
        <v>142</v>
      </c>
      <c r="G73" s="43"/>
      <c r="H73" s="37"/>
      <c r="I73" s="45"/>
    </row>
    <row r="74" spans="2:9" x14ac:dyDescent="0.25">
      <c r="B74" s="242"/>
      <c r="C74" s="240"/>
      <c r="D74" s="42">
        <v>46</v>
      </c>
      <c r="E74" s="45"/>
      <c r="F74" s="30" t="s">
        <v>149</v>
      </c>
      <c r="G74" s="43"/>
      <c r="H74" s="37"/>
      <c r="I74" s="45"/>
    </row>
    <row r="75" spans="2:9" x14ac:dyDescent="0.25">
      <c r="B75" s="242"/>
      <c r="C75" s="240"/>
      <c r="D75" s="42">
        <v>47</v>
      </c>
      <c r="E75" s="45"/>
      <c r="F75" s="30" t="s">
        <v>150</v>
      </c>
      <c r="G75" s="43"/>
      <c r="H75" s="37"/>
      <c r="I75" s="45"/>
    </row>
    <row r="76" spans="2:9" x14ac:dyDescent="0.25">
      <c r="B76" s="242"/>
      <c r="C76" s="240"/>
      <c r="D76" s="42">
        <v>48</v>
      </c>
      <c r="E76" s="45"/>
      <c r="F76" s="30" t="s">
        <v>529</v>
      </c>
      <c r="G76" s="43"/>
      <c r="H76" s="37"/>
      <c r="I76" s="45"/>
    </row>
    <row r="77" spans="2:9" x14ac:dyDescent="0.25">
      <c r="B77" s="242"/>
      <c r="C77" s="240"/>
      <c r="D77" s="42">
        <v>49</v>
      </c>
      <c r="E77" s="45"/>
      <c r="F77" s="30" t="s">
        <v>598</v>
      </c>
      <c r="G77" s="43"/>
      <c r="H77" s="37"/>
      <c r="I77" s="45"/>
    </row>
    <row r="78" spans="2:9" x14ac:dyDescent="0.25">
      <c r="B78" s="242"/>
      <c r="C78" s="240"/>
      <c r="D78" s="42">
        <v>50</v>
      </c>
      <c r="E78" s="45"/>
      <c r="F78" s="30" t="s">
        <v>143</v>
      </c>
      <c r="G78" s="43"/>
      <c r="H78" s="37"/>
      <c r="I78" s="45"/>
    </row>
    <row r="79" spans="2:9" x14ac:dyDescent="0.25">
      <c r="B79" s="242"/>
      <c r="D79" s="160"/>
      <c r="E79" s="45"/>
      <c r="F79" s="30" t="s">
        <v>586</v>
      </c>
      <c r="G79" s="43"/>
      <c r="H79" s="37"/>
      <c r="I79" s="45"/>
    </row>
    <row r="80" spans="2:9" x14ac:dyDescent="0.25">
      <c r="B80" s="242"/>
      <c r="D80" s="160"/>
      <c r="E80" s="45"/>
      <c r="F80" s="30" t="s">
        <v>134</v>
      </c>
      <c r="G80" s="43"/>
      <c r="H80" s="37"/>
      <c r="I80" s="45"/>
    </row>
    <row r="81" spans="2:9" x14ac:dyDescent="0.25">
      <c r="B81" s="242"/>
      <c r="D81" s="160"/>
      <c r="E81" s="45"/>
      <c r="F81" s="30" t="s">
        <v>534</v>
      </c>
      <c r="G81" s="43"/>
      <c r="H81" s="37"/>
      <c r="I81" s="45"/>
    </row>
    <row r="82" spans="2:9" x14ac:dyDescent="0.25">
      <c r="B82" s="242"/>
      <c r="D82" s="160"/>
      <c r="E82" s="45"/>
      <c r="F82" s="30" t="s">
        <v>113</v>
      </c>
      <c r="G82" s="43"/>
      <c r="H82" s="37"/>
      <c r="I82" s="45"/>
    </row>
    <row r="83" spans="2:9" x14ac:dyDescent="0.25">
      <c r="B83" s="242"/>
      <c r="D83" s="160"/>
      <c r="E83" s="45"/>
      <c r="F83" s="30" t="s">
        <v>266</v>
      </c>
      <c r="G83" s="43"/>
      <c r="H83" s="37"/>
      <c r="I83" s="45"/>
    </row>
    <row r="84" spans="2:9" x14ac:dyDescent="0.25">
      <c r="B84" s="242"/>
      <c r="F84" s="30" t="s">
        <v>619</v>
      </c>
      <c r="G84" s="43"/>
      <c r="H84" s="37"/>
      <c r="I84" s="45"/>
    </row>
    <row r="85" spans="2:9" x14ac:dyDescent="0.25">
      <c r="B85" s="242"/>
      <c r="F85" s="30" t="s">
        <v>115</v>
      </c>
      <c r="G85" s="43"/>
      <c r="H85" s="37"/>
      <c r="I85" s="45"/>
    </row>
    <row r="86" spans="2:9" x14ac:dyDescent="0.25">
      <c r="B86" s="242"/>
      <c r="F86" s="30" t="s">
        <v>116</v>
      </c>
      <c r="G86" s="43"/>
      <c r="H86" s="37"/>
      <c r="I86" s="45"/>
    </row>
    <row r="87" spans="2:9" x14ac:dyDescent="0.25">
      <c r="B87" s="242"/>
      <c r="F87" s="30" t="s">
        <v>620</v>
      </c>
      <c r="G87" s="43"/>
      <c r="H87" s="37"/>
      <c r="I87" s="45"/>
    </row>
    <row r="88" spans="2:9" x14ac:dyDescent="0.25">
      <c r="B88" s="242"/>
      <c r="F88" s="30" t="s">
        <v>584</v>
      </c>
      <c r="G88" s="43"/>
      <c r="H88" s="37"/>
      <c r="I88" s="45"/>
    </row>
    <row r="89" spans="2:9" x14ac:dyDescent="0.25">
      <c r="B89" s="242"/>
      <c r="F89" s="30" t="s">
        <v>526</v>
      </c>
      <c r="G89" s="43"/>
      <c r="H89" s="37"/>
      <c r="I89" s="45"/>
    </row>
    <row r="90" spans="2:9" x14ac:dyDescent="0.25">
      <c r="B90" s="242"/>
      <c r="F90" s="30" t="s">
        <v>604</v>
      </c>
      <c r="G90" s="43"/>
      <c r="H90" s="37"/>
      <c r="I90" s="45"/>
    </row>
    <row r="91" spans="2:9" x14ac:dyDescent="0.25">
      <c r="B91" s="242"/>
      <c r="F91" s="30" t="s">
        <v>621</v>
      </c>
      <c r="G91" s="43"/>
      <c r="H91" s="37"/>
      <c r="I91" s="45"/>
    </row>
    <row r="92" spans="2:9" x14ac:dyDescent="0.25">
      <c r="B92" s="242"/>
      <c r="F92" s="30" t="s">
        <v>587</v>
      </c>
      <c r="G92" s="43"/>
      <c r="H92" s="37"/>
      <c r="I92" s="45"/>
    </row>
    <row r="93" spans="2:9" x14ac:dyDescent="0.25">
      <c r="B93" s="242"/>
      <c r="F93" s="30" t="s">
        <v>543</v>
      </c>
      <c r="G93" s="43"/>
      <c r="H93" s="37"/>
      <c r="I93" s="45"/>
    </row>
    <row r="94" spans="2:9" x14ac:dyDescent="0.25">
      <c r="B94" s="242"/>
      <c r="F94" s="30" t="s">
        <v>611</v>
      </c>
      <c r="G94" s="43"/>
      <c r="H94" s="37"/>
      <c r="I94" s="45"/>
    </row>
    <row r="95" spans="2:9" x14ac:dyDescent="0.25">
      <c r="B95" s="242"/>
      <c r="F95" s="30" t="s">
        <v>617</v>
      </c>
      <c r="G95" s="43"/>
      <c r="H95" s="37"/>
      <c r="I95" s="45"/>
    </row>
    <row r="96" spans="2:9" x14ac:dyDescent="0.25">
      <c r="B96" s="242"/>
      <c r="F96" s="30" t="s">
        <v>616</v>
      </c>
      <c r="G96" s="43"/>
      <c r="H96" s="37"/>
      <c r="I96" s="45"/>
    </row>
    <row r="97" spans="2:9" x14ac:dyDescent="0.25">
      <c r="B97" s="242"/>
      <c r="F97" s="30" t="s">
        <v>600</v>
      </c>
      <c r="G97" s="43"/>
      <c r="H97" s="37"/>
      <c r="I97" s="45"/>
    </row>
    <row r="98" spans="2:9" x14ac:dyDescent="0.25">
      <c r="B98" s="242"/>
      <c r="F98" s="30" t="s">
        <v>48</v>
      </c>
      <c r="G98" s="43"/>
      <c r="H98" s="37"/>
      <c r="I98" s="45"/>
    </row>
    <row r="99" spans="2:9" x14ac:dyDescent="0.25">
      <c r="B99" s="242"/>
      <c r="F99" s="30" t="s">
        <v>597</v>
      </c>
      <c r="G99" s="43"/>
      <c r="H99" s="37"/>
      <c r="I99" s="45"/>
    </row>
    <row r="100" spans="2:9" x14ac:dyDescent="0.25">
      <c r="B100" s="242"/>
      <c r="F100" s="30" t="s">
        <v>36</v>
      </c>
      <c r="G100" s="43"/>
      <c r="H100" s="37"/>
      <c r="I100" s="45"/>
    </row>
    <row r="101" spans="2:9" x14ac:dyDescent="0.25">
      <c r="B101" s="242"/>
      <c r="F101" s="30" t="s">
        <v>574</v>
      </c>
      <c r="G101" s="43"/>
      <c r="H101" s="37"/>
      <c r="I101" s="45"/>
    </row>
    <row r="102" spans="2:9" x14ac:dyDescent="0.25">
      <c r="B102" s="242"/>
      <c r="F102" s="30" t="s">
        <v>599</v>
      </c>
      <c r="G102" s="43"/>
    </row>
    <row r="103" spans="2:9" x14ac:dyDescent="0.25">
      <c r="B103" s="242"/>
      <c r="F103" s="30" t="s">
        <v>544</v>
      </c>
      <c r="G103" s="43"/>
    </row>
    <row r="104" spans="2:9" x14ac:dyDescent="0.25">
      <c r="B104" s="242"/>
      <c r="F104" s="30" t="s">
        <v>155</v>
      </c>
      <c r="G104" s="43"/>
    </row>
    <row r="105" spans="2:9" x14ac:dyDescent="0.25">
      <c r="B105" s="242"/>
      <c r="F105" s="30" t="s">
        <v>144</v>
      </c>
      <c r="G105" s="43"/>
    </row>
    <row r="106" spans="2:9" x14ac:dyDescent="0.25">
      <c r="B106" s="242"/>
      <c r="F106" s="30" t="s">
        <v>87</v>
      </c>
      <c r="G106" s="43"/>
    </row>
    <row r="107" spans="2:9" x14ac:dyDescent="0.25">
      <c r="B107" s="242"/>
      <c r="F107" s="30" t="s">
        <v>614</v>
      </c>
      <c r="G107" s="43"/>
    </row>
    <row r="108" spans="2:9" x14ac:dyDescent="0.25">
      <c r="B108" s="242"/>
      <c r="F108" s="30" t="s">
        <v>545</v>
      </c>
      <c r="G108" s="43"/>
    </row>
    <row r="109" spans="2:9" x14ac:dyDescent="0.25">
      <c r="B109" s="242"/>
      <c r="F109" s="30" t="s">
        <v>624</v>
      </c>
      <c r="G109" s="43"/>
    </row>
    <row r="110" spans="2:9" x14ac:dyDescent="0.25">
      <c r="B110" s="242"/>
      <c r="F110" s="30" t="s">
        <v>519</v>
      </c>
      <c r="G110" s="43"/>
    </row>
    <row r="111" spans="2:9" x14ac:dyDescent="0.25">
      <c r="B111" s="242"/>
      <c r="F111" s="30" t="s">
        <v>76</v>
      </c>
      <c r="G111" s="43"/>
    </row>
    <row r="112" spans="2:9" x14ac:dyDescent="0.25">
      <c r="B112" s="242"/>
      <c r="F112" s="30" t="s">
        <v>117</v>
      </c>
      <c r="G112" s="43"/>
    </row>
    <row r="113" spans="2:7" x14ac:dyDescent="0.25">
      <c r="B113" s="242"/>
      <c r="F113" s="30" t="s">
        <v>606</v>
      </c>
      <c r="G113" s="43"/>
    </row>
    <row r="114" spans="2:7" x14ac:dyDescent="0.25">
      <c r="B114" s="242"/>
      <c r="F114" s="30" t="s">
        <v>156</v>
      </c>
      <c r="G114" s="43"/>
    </row>
    <row r="115" spans="2:7" x14ac:dyDescent="0.25">
      <c r="B115" s="242"/>
      <c r="F115" s="30" t="s">
        <v>27</v>
      </c>
      <c r="G115" s="43"/>
    </row>
    <row r="116" spans="2:7" x14ac:dyDescent="0.25">
      <c r="B116" s="242"/>
      <c r="F116" s="30" t="s">
        <v>159</v>
      </c>
      <c r="G116" s="43"/>
    </row>
    <row r="117" spans="2:7" x14ac:dyDescent="0.25">
      <c r="B117" s="242"/>
      <c r="F117" s="30" t="s">
        <v>159</v>
      </c>
      <c r="G117" s="43"/>
    </row>
    <row r="118" spans="2:7" x14ac:dyDescent="0.25">
      <c r="B118" s="242"/>
      <c r="F118" s="30" t="s">
        <v>118</v>
      </c>
      <c r="G118" s="43"/>
    </row>
    <row r="119" spans="2:7" x14ac:dyDescent="0.25">
      <c r="B119" s="242"/>
      <c r="F119" s="30" t="s">
        <v>583</v>
      </c>
      <c r="G119" s="43"/>
    </row>
    <row r="120" spans="2:7" x14ac:dyDescent="0.25">
      <c r="B120" s="242"/>
      <c r="F120" s="30" t="s">
        <v>136</v>
      </c>
      <c r="G120" s="43"/>
    </row>
    <row r="121" spans="2:7" x14ac:dyDescent="0.25">
      <c r="B121" s="242"/>
      <c r="F121" s="30" t="s">
        <v>132</v>
      </c>
      <c r="G121" s="43"/>
    </row>
    <row r="122" spans="2:7" x14ac:dyDescent="0.25">
      <c r="B122" s="242"/>
      <c r="F122" s="30" t="s">
        <v>138</v>
      </c>
      <c r="G122" s="43"/>
    </row>
    <row r="123" spans="2:7" x14ac:dyDescent="0.25">
      <c r="B123" s="242"/>
      <c r="F123" s="30" t="s">
        <v>525</v>
      </c>
      <c r="G123" s="43"/>
    </row>
    <row r="124" spans="2:7" x14ac:dyDescent="0.25">
      <c r="B124" s="242"/>
      <c r="F124" s="30" t="s">
        <v>625</v>
      </c>
      <c r="G124" s="43"/>
    </row>
    <row r="125" spans="2:7" x14ac:dyDescent="0.25">
      <c r="B125" s="242"/>
      <c r="F125" s="30" t="s">
        <v>563</v>
      </c>
      <c r="G125" s="43"/>
    </row>
    <row r="126" spans="2:7" x14ac:dyDescent="0.25">
      <c r="B126" s="242"/>
      <c r="F126" s="30" t="s">
        <v>141</v>
      </c>
      <c r="G126" s="43"/>
    </row>
    <row r="127" spans="2:7" x14ac:dyDescent="0.25">
      <c r="B127" s="242"/>
      <c r="F127" s="30" t="s">
        <v>575</v>
      </c>
      <c r="G127" s="43"/>
    </row>
    <row r="128" spans="2:7" x14ac:dyDescent="0.25">
      <c r="B128" s="242"/>
      <c r="F128" s="30" t="s">
        <v>618</v>
      </c>
      <c r="G128" s="43"/>
    </row>
    <row r="129" spans="2:7" x14ac:dyDescent="0.25">
      <c r="B129" s="242"/>
      <c r="F129" s="30" t="s">
        <v>130</v>
      </c>
      <c r="G129" s="43"/>
    </row>
    <row r="130" spans="2:7" x14ac:dyDescent="0.25">
      <c r="B130" s="242"/>
      <c r="F130" s="30" t="s">
        <v>148</v>
      </c>
      <c r="G130" s="43"/>
    </row>
    <row r="131" spans="2:7" x14ac:dyDescent="0.25">
      <c r="B131" s="242"/>
      <c r="F131" s="30" t="s">
        <v>119</v>
      </c>
      <c r="G131" s="43"/>
    </row>
    <row r="132" spans="2:7" x14ac:dyDescent="0.25">
      <c r="B132" s="242"/>
      <c r="F132" s="30" t="s">
        <v>119</v>
      </c>
      <c r="G132" s="43"/>
    </row>
    <row r="133" spans="2:7" x14ac:dyDescent="0.25">
      <c r="B133" s="242"/>
      <c r="F133" s="30" t="s">
        <v>585</v>
      </c>
      <c r="G133" s="43"/>
    </row>
    <row r="134" spans="2:7" x14ac:dyDescent="0.25">
      <c r="B134" s="242"/>
      <c r="F134" s="30" t="s">
        <v>578</v>
      </c>
      <c r="G134" s="43"/>
    </row>
    <row r="135" spans="2:7" x14ac:dyDescent="0.25">
      <c r="B135" s="242"/>
      <c r="F135" s="30" t="s">
        <v>131</v>
      </c>
      <c r="G135" s="43"/>
    </row>
    <row r="136" spans="2:7" x14ac:dyDescent="0.25">
      <c r="B136" s="242"/>
      <c r="F136" s="30" t="s">
        <v>622</v>
      </c>
      <c r="G136" s="43"/>
    </row>
    <row r="137" spans="2:7" x14ac:dyDescent="0.25">
      <c r="B137" s="242"/>
      <c r="F137" s="30" t="s">
        <v>120</v>
      </c>
      <c r="G137" s="43"/>
    </row>
    <row r="138" spans="2:7" x14ac:dyDescent="0.25">
      <c r="B138" s="242"/>
      <c r="F138" s="30" t="s">
        <v>528</v>
      </c>
      <c r="G138" s="43"/>
    </row>
    <row r="139" spans="2:7" x14ac:dyDescent="0.25">
      <c r="B139" s="242"/>
      <c r="F139" s="30" t="s">
        <v>157</v>
      </c>
      <c r="G139" s="43"/>
    </row>
    <row r="140" spans="2:7" x14ac:dyDescent="0.25">
      <c r="B140" s="242"/>
      <c r="F140" s="30" t="s">
        <v>612</v>
      </c>
      <c r="G140" s="43"/>
    </row>
    <row r="141" spans="2:7" x14ac:dyDescent="0.25">
      <c r="B141" s="242"/>
      <c r="F141" s="30" t="s">
        <v>121</v>
      </c>
      <c r="G141" s="43"/>
    </row>
    <row r="142" spans="2:7" x14ac:dyDescent="0.25">
      <c r="B142" s="242"/>
      <c r="F142" s="155" t="s">
        <v>631</v>
      </c>
    </row>
  </sheetData>
  <sortState xmlns:xlrd2="http://schemas.microsoft.com/office/spreadsheetml/2017/richdata2" ref="D4:D28">
    <sortCondition ref="D4:D28"/>
  </sortState>
  <mergeCells count="4">
    <mergeCell ref="C2:D2"/>
    <mergeCell ref="C4:C28"/>
    <mergeCell ref="C29:C78"/>
    <mergeCell ref="B3:B14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CD853-74F0-43CD-BE65-9CF73FA86AF1}">
  <sheetPr>
    <tabColor theme="4" tint="0.39997558519241921"/>
  </sheetPr>
  <dimension ref="B2:K142"/>
  <sheetViews>
    <sheetView zoomScaleNormal="100" workbookViewId="0">
      <pane ySplit="3" topLeftCell="A4" activePane="bottomLeft" state="frozen"/>
      <selection pane="bottomLeft" activeCell="I1" activeCellId="2" sqref="E1:E1048576 G1:G1048576 I1:I1048576"/>
    </sheetView>
  </sheetViews>
  <sheetFormatPr defaultRowHeight="14.3" x14ac:dyDescent="0.25"/>
  <cols>
    <col min="2" max="4" width="30.625" customWidth="1"/>
    <col min="5" max="5" width="2.125" style="44" customWidth="1"/>
    <col min="6" max="6" width="38.5" bestFit="1" customWidth="1"/>
    <col min="7" max="7" width="2.125" style="44" customWidth="1"/>
    <col min="8" max="8" width="30.625" customWidth="1"/>
    <col min="9" max="9" width="2.125" style="44" customWidth="1"/>
    <col min="10" max="11" width="30.625" customWidth="1"/>
  </cols>
  <sheetData>
    <row r="2" spans="2:11" x14ac:dyDescent="0.25">
      <c r="B2" s="58" t="s">
        <v>1</v>
      </c>
      <c r="C2" s="238" t="s">
        <v>4</v>
      </c>
      <c r="D2" s="238"/>
      <c r="E2" s="150"/>
      <c r="F2" s="154"/>
      <c r="G2" s="148"/>
      <c r="H2" s="154"/>
      <c r="I2" s="148"/>
    </row>
    <row r="3" spans="2:11" x14ac:dyDescent="0.25">
      <c r="B3" s="244" t="s">
        <v>10</v>
      </c>
      <c r="C3" s="60" t="s">
        <v>5</v>
      </c>
      <c r="D3" s="152" t="s">
        <v>6</v>
      </c>
      <c r="E3" s="149"/>
      <c r="F3" s="60" t="s">
        <v>634</v>
      </c>
      <c r="G3" s="149"/>
      <c r="H3" s="60" t="s">
        <v>638</v>
      </c>
      <c r="I3" s="150"/>
      <c r="J3" s="156" t="s">
        <v>645</v>
      </c>
      <c r="K3" s="25" t="s">
        <v>646</v>
      </c>
    </row>
    <row r="4" spans="2:11" x14ac:dyDescent="0.25">
      <c r="B4" s="244"/>
      <c r="C4" s="243" t="s">
        <v>259</v>
      </c>
      <c r="D4" s="61">
        <v>1</v>
      </c>
      <c r="E4" s="45"/>
      <c r="F4" s="30" t="s">
        <v>122</v>
      </c>
      <c r="G4" s="43"/>
      <c r="H4" s="14">
        <v>1</v>
      </c>
      <c r="I4" s="45"/>
    </row>
    <row r="5" spans="2:11" x14ac:dyDescent="0.25">
      <c r="B5" s="244"/>
      <c r="C5" s="243"/>
      <c r="D5" s="61">
        <v>2</v>
      </c>
      <c r="E5" s="45"/>
      <c r="F5" s="30" t="s">
        <v>426</v>
      </c>
      <c r="G5" s="43"/>
      <c r="H5" s="14">
        <v>2</v>
      </c>
      <c r="I5" s="45"/>
    </row>
    <row r="6" spans="2:11" x14ac:dyDescent="0.25">
      <c r="B6" s="244"/>
      <c r="C6" s="243"/>
      <c r="D6" s="61">
        <v>3</v>
      </c>
      <c r="E6" s="45"/>
      <c r="F6" s="30" t="s">
        <v>581</v>
      </c>
      <c r="G6" s="43"/>
      <c r="H6" s="14">
        <v>3</v>
      </c>
      <c r="I6" s="45"/>
    </row>
    <row r="7" spans="2:11" x14ac:dyDescent="0.25">
      <c r="B7" s="244"/>
      <c r="C7" s="243"/>
      <c r="D7" s="61">
        <v>4</v>
      </c>
      <c r="E7" s="45"/>
      <c r="F7" s="30" t="s">
        <v>123</v>
      </c>
      <c r="G7" s="43"/>
      <c r="H7" s="14">
        <v>4</v>
      </c>
      <c r="I7" s="45"/>
    </row>
    <row r="8" spans="2:11" x14ac:dyDescent="0.25">
      <c r="B8" s="244"/>
      <c r="C8" s="243"/>
      <c r="D8" s="61">
        <v>5</v>
      </c>
      <c r="E8" s="45"/>
      <c r="F8" s="30" t="s">
        <v>96</v>
      </c>
      <c r="G8" s="43"/>
      <c r="H8" s="14">
        <v>5</v>
      </c>
      <c r="I8" s="45"/>
    </row>
    <row r="9" spans="2:11" x14ac:dyDescent="0.25">
      <c r="B9" s="244"/>
      <c r="C9" s="243"/>
      <c r="D9" s="61">
        <v>6</v>
      </c>
      <c r="E9" s="45"/>
      <c r="F9" s="30" t="s">
        <v>626</v>
      </c>
      <c r="G9" s="43"/>
      <c r="H9" s="14">
        <v>6</v>
      </c>
      <c r="I9" s="45"/>
    </row>
    <row r="10" spans="2:11" x14ac:dyDescent="0.25">
      <c r="B10" s="244"/>
      <c r="C10" s="243"/>
      <c r="D10" s="61">
        <v>7</v>
      </c>
      <c r="E10" s="45"/>
      <c r="F10" s="30" t="s">
        <v>615</v>
      </c>
      <c r="G10" s="43"/>
      <c r="H10" s="14">
        <v>7</v>
      </c>
      <c r="I10" s="45"/>
    </row>
    <row r="11" spans="2:11" x14ac:dyDescent="0.25">
      <c r="B11" s="244"/>
      <c r="C11" s="243"/>
      <c r="D11" s="61">
        <v>8</v>
      </c>
      <c r="E11" s="45"/>
      <c r="F11" s="30" t="s">
        <v>133</v>
      </c>
      <c r="G11" s="43"/>
      <c r="H11" s="14">
        <v>8</v>
      </c>
      <c r="I11" s="45"/>
    </row>
    <row r="12" spans="2:11" x14ac:dyDescent="0.25">
      <c r="B12" s="244"/>
      <c r="C12" s="243"/>
      <c r="D12" s="61">
        <v>9</v>
      </c>
      <c r="E12" s="45"/>
      <c r="F12" s="30" t="s">
        <v>531</v>
      </c>
      <c r="G12" s="43"/>
      <c r="H12" s="14">
        <v>9</v>
      </c>
      <c r="I12" s="45"/>
    </row>
    <row r="13" spans="2:11" x14ac:dyDescent="0.25">
      <c r="B13" s="244"/>
      <c r="C13" s="243"/>
      <c r="D13" s="61">
        <v>10</v>
      </c>
      <c r="E13" s="45"/>
      <c r="F13" s="30" t="s">
        <v>124</v>
      </c>
      <c r="G13" s="43"/>
      <c r="H13" s="14">
        <v>10</v>
      </c>
      <c r="I13" s="45"/>
    </row>
    <row r="14" spans="2:11" x14ac:dyDescent="0.25">
      <c r="B14" s="244"/>
      <c r="C14" s="243"/>
      <c r="D14" s="61">
        <v>11</v>
      </c>
      <c r="E14" s="45"/>
      <c r="F14" s="30" t="s">
        <v>125</v>
      </c>
      <c r="G14" s="43"/>
      <c r="H14" s="14">
        <v>11</v>
      </c>
      <c r="I14" s="45"/>
    </row>
    <row r="15" spans="2:11" x14ac:dyDescent="0.25">
      <c r="B15" s="244"/>
      <c r="C15" s="243"/>
      <c r="D15" s="61">
        <v>12</v>
      </c>
      <c r="E15" s="45"/>
      <c r="F15" s="30" t="s">
        <v>126</v>
      </c>
      <c r="G15" s="43"/>
      <c r="H15" s="14">
        <v>12</v>
      </c>
      <c r="I15" s="45"/>
    </row>
    <row r="16" spans="2:11" x14ac:dyDescent="0.25">
      <c r="B16" s="244"/>
      <c r="C16" s="243"/>
      <c r="D16" s="61">
        <v>13</v>
      </c>
      <c r="E16" s="45"/>
      <c r="F16" s="30" t="s">
        <v>152</v>
      </c>
      <c r="G16" s="43"/>
      <c r="H16" s="14">
        <v>13</v>
      </c>
      <c r="I16" s="45"/>
    </row>
    <row r="17" spans="2:9" x14ac:dyDescent="0.25">
      <c r="B17" s="244"/>
      <c r="C17" s="243"/>
      <c r="D17" s="61">
        <v>14</v>
      </c>
      <c r="E17" s="45"/>
      <c r="F17" s="30" t="s">
        <v>127</v>
      </c>
      <c r="G17" s="43"/>
      <c r="H17" s="14">
        <v>14</v>
      </c>
      <c r="I17" s="45"/>
    </row>
    <row r="18" spans="2:9" x14ac:dyDescent="0.25">
      <c r="B18" s="244"/>
      <c r="C18" s="243"/>
      <c r="D18" s="61">
        <v>15</v>
      </c>
      <c r="E18" s="45"/>
      <c r="F18" s="30" t="s">
        <v>128</v>
      </c>
      <c r="G18" s="43"/>
      <c r="H18" s="14">
        <v>15</v>
      </c>
      <c r="I18" s="45"/>
    </row>
    <row r="19" spans="2:9" x14ac:dyDescent="0.25">
      <c r="B19" s="244"/>
      <c r="C19" s="243"/>
      <c r="D19" s="61">
        <v>16</v>
      </c>
      <c r="E19" s="45"/>
      <c r="F19" s="30" t="s">
        <v>518</v>
      </c>
      <c r="G19" s="43"/>
      <c r="H19" s="14">
        <v>16</v>
      </c>
      <c r="I19" s="45"/>
    </row>
    <row r="20" spans="2:9" x14ac:dyDescent="0.25">
      <c r="B20" s="244"/>
      <c r="C20" s="243"/>
      <c r="D20" s="61">
        <v>17</v>
      </c>
      <c r="E20" s="45"/>
      <c r="F20" s="30" t="s">
        <v>588</v>
      </c>
      <c r="G20" s="43"/>
      <c r="H20" s="14">
        <v>17</v>
      </c>
      <c r="I20" s="45"/>
    </row>
    <row r="21" spans="2:9" x14ac:dyDescent="0.25">
      <c r="B21" s="244"/>
      <c r="C21" s="243"/>
      <c r="D21" s="61">
        <v>18</v>
      </c>
      <c r="E21" s="45"/>
      <c r="F21" s="30" t="s">
        <v>146</v>
      </c>
      <c r="G21" s="43"/>
      <c r="H21" s="14">
        <v>18</v>
      </c>
      <c r="I21" s="45"/>
    </row>
    <row r="22" spans="2:9" x14ac:dyDescent="0.25">
      <c r="B22" s="244"/>
      <c r="C22" s="243"/>
      <c r="D22" s="61">
        <v>19</v>
      </c>
      <c r="E22" s="45"/>
      <c r="F22" s="30" t="s">
        <v>627</v>
      </c>
      <c r="G22" s="43"/>
      <c r="H22" s="14">
        <v>19</v>
      </c>
      <c r="I22" s="45"/>
    </row>
    <row r="23" spans="2:9" x14ac:dyDescent="0.25">
      <c r="B23" s="244"/>
      <c r="C23" s="243"/>
      <c r="D23" s="61">
        <v>20</v>
      </c>
      <c r="E23" s="45"/>
      <c r="F23" s="30" t="s">
        <v>613</v>
      </c>
      <c r="G23" s="43"/>
      <c r="H23" s="14">
        <v>20</v>
      </c>
      <c r="I23" s="45"/>
    </row>
    <row r="24" spans="2:9" x14ac:dyDescent="0.25">
      <c r="B24" s="244"/>
      <c r="C24" s="243"/>
      <c r="D24" s="61">
        <v>21</v>
      </c>
      <c r="E24" s="45"/>
      <c r="F24" s="30" t="s">
        <v>97</v>
      </c>
      <c r="G24" s="43"/>
      <c r="H24" s="14">
        <v>21</v>
      </c>
      <c r="I24" s="45"/>
    </row>
    <row r="25" spans="2:9" x14ac:dyDescent="0.25">
      <c r="B25" s="244"/>
      <c r="C25" s="243"/>
      <c r="D25" s="61">
        <v>22</v>
      </c>
      <c r="E25" s="45"/>
      <c r="F25" s="30" t="s">
        <v>590</v>
      </c>
      <c r="G25" s="43"/>
      <c r="H25" s="14">
        <v>22</v>
      </c>
      <c r="I25" s="45"/>
    </row>
    <row r="26" spans="2:9" x14ac:dyDescent="0.25">
      <c r="B26" s="244"/>
      <c r="C26" s="243"/>
      <c r="D26" s="61">
        <v>23</v>
      </c>
      <c r="E26" s="45"/>
      <c r="F26" s="30" t="s">
        <v>628</v>
      </c>
      <c r="G26" s="43"/>
      <c r="H26" s="14">
        <v>23</v>
      </c>
      <c r="I26" s="45"/>
    </row>
    <row r="27" spans="2:9" x14ac:dyDescent="0.25">
      <c r="B27" s="244"/>
      <c r="C27" s="243"/>
      <c r="D27" s="61">
        <v>24</v>
      </c>
      <c r="E27" s="45"/>
      <c r="F27" s="30" t="s">
        <v>78</v>
      </c>
      <c r="G27" s="43"/>
      <c r="H27" s="14">
        <v>24</v>
      </c>
      <c r="I27" s="45"/>
    </row>
    <row r="28" spans="2:9" x14ac:dyDescent="0.25">
      <c r="B28" s="244"/>
      <c r="C28" s="243"/>
      <c r="D28" s="61">
        <v>25</v>
      </c>
      <c r="E28" s="45"/>
      <c r="F28" s="30" t="s">
        <v>556</v>
      </c>
      <c r="G28" s="43"/>
      <c r="H28" s="14">
        <v>25</v>
      </c>
      <c r="I28" s="45"/>
    </row>
    <row r="29" spans="2:9" x14ac:dyDescent="0.25">
      <c r="B29" s="244"/>
      <c r="C29" s="243"/>
      <c r="D29" s="61">
        <v>26</v>
      </c>
      <c r="E29" s="45"/>
      <c r="F29" s="30" t="s">
        <v>496</v>
      </c>
      <c r="G29" s="43"/>
      <c r="H29" s="14">
        <v>26</v>
      </c>
      <c r="I29" s="45"/>
    </row>
    <row r="30" spans="2:9" x14ac:dyDescent="0.25">
      <c r="B30" s="244"/>
      <c r="C30" s="243"/>
      <c r="D30" s="61">
        <v>27</v>
      </c>
      <c r="E30" s="45"/>
      <c r="F30" s="30" t="s">
        <v>158</v>
      </c>
      <c r="G30" s="43"/>
      <c r="H30" s="14">
        <v>27</v>
      </c>
      <c r="I30" s="45"/>
    </row>
    <row r="31" spans="2:9" x14ac:dyDescent="0.25">
      <c r="B31" s="244"/>
      <c r="C31" s="243"/>
      <c r="D31" s="61">
        <v>28</v>
      </c>
      <c r="E31" s="45"/>
      <c r="F31" s="30" t="s">
        <v>521</v>
      </c>
      <c r="G31" s="43"/>
      <c r="H31" s="14">
        <v>28</v>
      </c>
      <c r="I31" s="45"/>
    </row>
    <row r="32" spans="2:9" x14ac:dyDescent="0.25">
      <c r="B32" s="244"/>
      <c r="C32" s="243"/>
      <c r="D32" s="61">
        <v>29</v>
      </c>
      <c r="E32" s="45"/>
      <c r="F32" s="30" t="s">
        <v>99</v>
      </c>
      <c r="G32" s="43"/>
      <c r="H32" s="14">
        <v>29</v>
      </c>
      <c r="I32" s="45"/>
    </row>
    <row r="33" spans="2:9" x14ac:dyDescent="0.25">
      <c r="B33" s="244"/>
      <c r="C33" s="243"/>
      <c r="D33" s="61">
        <v>30</v>
      </c>
      <c r="E33" s="45"/>
      <c r="F33" s="30" t="s">
        <v>100</v>
      </c>
      <c r="G33" s="43"/>
      <c r="H33" s="14">
        <v>30</v>
      </c>
      <c r="I33" s="45"/>
    </row>
    <row r="34" spans="2:9" x14ac:dyDescent="0.25">
      <c r="B34" s="244"/>
      <c r="C34" s="243"/>
      <c r="D34" s="61">
        <v>31</v>
      </c>
      <c r="E34" s="45"/>
      <c r="F34" s="30" t="s">
        <v>101</v>
      </c>
      <c r="G34" s="43"/>
      <c r="H34" s="42">
        <v>35</v>
      </c>
      <c r="I34" s="45"/>
    </row>
    <row r="35" spans="2:9" x14ac:dyDescent="0.25">
      <c r="B35" s="244"/>
      <c r="C35" s="243"/>
      <c r="D35" s="61">
        <v>32</v>
      </c>
      <c r="E35" s="45"/>
      <c r="F35" s="30" t="s">
        <v>593</v>
      </c>
      <c r="G35" s="43"/>
      <c r="H35" s="42">
        <v>40</v>
      </c>
      <c r="I35" s="45"/>
    </row>
    <row r="36" spans="2:9" x14ac:dyDescent="0.25">
      <c r="B36" s="244"/>
      <c r="C36" s="243"/>
      <c r="D36" s="61">
        <v>33</v>
      </c>
      <c r="E36" s="45"/>
      <c r="F36" s="30" t="s">
        <v>601</v>
      </c>
      <c r="G36" s="43"/>
      <c r="H36" s="42">
        <v>45</v>
      </c>
      <c r="I36" s="45"/>
    </row>
    <row r="37" spans="2:9" x14ac:dyDescent="0.25">
      <c r="B37" s="244"/>
      <c r="C37" s="243"/>
      <c r="D37" s="61">
        <v>34</v>
      </c>
      <c r="E37" s="45"/>
      <c r="F37" s="30" t="s">
        <v>103</v>
      </c>
      <c r="G37" s="43"/>
      <c r="H37" s="42">
        <f>H36+5</f>
        <v>50</v>
      </c>
      <c r="I37" s="45"/>
    </row>
    <row r="38" spans="2:9" x14ac:dyDescent="0.25">
      <c r="B38" s="244"/>
      <c r="C38" s="243"/>
      <c r="D38" s="61">
        <v>35</v>
      </c>
      <c r="E38" s="45"/>
      <c r="F38" s="30" t="s">
        <v>517</v>
      </c>
      <c r="G38" s="43"/>
      <c r="H38" s="42">
        <v>60</v>
      </c>
      <c r="I38" s="45"/>
    </row>
    <row r="39" spans="2:9" x14ac:dyDescent="0.25">
      <c r="B39" s="244"/>
      <c r="C39" s="243"/>
      <c r="D39" s="61">
        <v>36</v>
      </c>
      <c r="E39" s="45"/>
      <c r="F39" s="30" t="s">
        <v>104</v>
      </c>
      <c r="G39" s="43"/>
      <c r="H39" s="42">
        <v>70</v>
      </c>
      <c r="I39" s="45"/>
    </row>
    <row r="40" spans="2:9" x14ac:dyDescent="0.25">
      <c r="B40" s="244"/>
      <c r="C40" s="243"/>
      <c r="D40" s="61">
        <v>37</v>
      </c>
      <c r="E40" s="45"/>
      <c r="F40" s="30" t="s">
        <v>105</v>
      </c>
      <c r="G40" s="43"/>
      <c r="H40" s="42">
        <v>75</v>
      </c>
      <c r="I40" s="45"/>
    </row>
    <row r="41" spans="2:9" x14ac:dyDescent="0.25">
      <c r="B41" s="244"/>
      <c r="C41" s="243"/>
      <c r="D41" s="61">
        <v>38</v>
      </c>
      <c r="E41" s="45"/>
      <c r="F41" s="30" t="s">
        <v>106</v>
      </c>
      <c r="G41" s="43"/>
      <c r="H41" s="42">
        <v>80</v>
      </c>
      <c r="I41" s="45"/>
    </row>
    <row r="42" spans="2:9" x14ac:dyDescent="0.25">
      <c r="B42" s="244"/>
      <c r="C42" s="243"/>
      <c r="D42" s="61">
        <v>39</v>
      </c>
      <c r="E42" s="45"/>
      <c r="F42" s="30" t="s">
        <v>107</v>
      </c>
      <c r="G42" s="43"/>
      <c r="H42" s="42">
        <v>85</v>
      </c>
      <c r="I42" s="45"/>
    </row>
    <row r="43" spans="2:9" x14ac:dyDescent="0.25">
      <c r="B43" s="244"/>
      <c r="C43" s="243"/>
      <c r="D43" s="61">
        <v>40</v>
      </c>
      <c r="E43" s="45"/>
      <c r="F43" s="30" t="s">
        <v>539</v>
      </c>
      <c r="G43" s="43"/>
      <c r="H43" s="42">
        <v>90</v>
      </c>
      <c r="I43" s="45"/>
    </row>
    <row r="44" spans="2:9" x14ac:dyDescent="0.25">
      <c r="B44" s="244"/>
      <c r="C44" s="243"/>
      <c r="D44" s="61">
        <v>41</v>
      </c>
      <c r="E44" s="45"/>
      <c r="F44" s="30" t="s">
        <v>547</v>
      </c>
      <c r="G44" s="43"/>
      <c r="H44" s="42">
        <v>100</v>
      </c>
      <c r="I44" s="45"/>
    </row>
    <row r="45" spans="2:9" x14ac:dyDescent="0.25">
      <c r="B45" s="244"/>
      <c r="C45" s="243"/>
      <c r="D45" s="61">
        <v>42</v>
      </c>
      <c r="E45" s="45"/>
      <c r="F45" s="30" t="s">
        <v>577</v>
      </c>
      <c r="G45" s="43"/>
      <c r="H45" s="42">
        <v>125</v>
      </c>
      <c r="I45" s="45"/>
    </row>
    <row r="46" spans="2:9" x14ac:dyDescent="0.25">
      <c r="B46" s="244"/>
      <c r="C46" s="243"/>
      <c r="D46" s="61">
        <v>43</v>
      </c>
      <c r="E46" s="45"/>
      <c r="F46" s="30" t="s">
        <v>108</v>
      </c>
      <c r="G46" s="43"/>
      <c r="H46" s="42">
        <v>150</v>
      </c>
      <c r="I46" s="45"/>
    </row>
    <row r="47" spans="2:9" x14ac:dyDescent="0.25">
      <c r="B47" s="244"/>
      <c r="C47" s="243"/>
      <c r="D47" s="61">
        <v>44</v>
      </c>
      <c r="E47" s="45"/>
      <c r="F47" s="30" t="s">
        <v>516</v>
      </c>
      <c r="G47" s="43"/>
      <c r="H47" s="42">
        <v>200</v>
      </c>
      <c r="I47" s="45"/>
    </row>
    <row r="48" spans="2:9" x14ac:dyDescent="0.25">
      <c r="B48" s="244"/>
      <c r="C48" s="243"/>
      <c r="D48" s="61">
        <v>45</v>
      </c>
      <c r="E48" s="45"/>
      <c r="F48" s="30" t="s">
        <v>109</v>
      </c>
      <c r="G48" s="43"/>
      <c r="H48" s="42">
        <v>250</v>
      </c>
      <c r="I48" s="45"/>
    </row>
    <row r="49" spans="2:9" x14ac:dyDescent="0.25">
      <c r="B49" s="244"/>
      <c r="C49" s="243"/>
      <c r="D49" s="61">
        <v>46</v>
      </c>
      <c r="E49" s="45"/>
      <c r="F49" s="30" t="s">
        <v>110</v>
      </c>
      <c r="G49" s="43"/>
      <c r="H49" s="42">
        <v>300</v>
      </c>
      <c r="I49" s="45"/>
    </row>
    <row r="50" spans="2:9" x14ac:dyDescent="0.25">
      <c r="B50" s="244"/>
      <c r="C50" s="243"/>
      <c r="D50" s="61">
        <v>47</v>
      </c>
      <c r="E50" s="45"/>
      <c r="F50" s="30" t="s">
        <v>558</v>
      </c>
      <c r="G50" s="43"/>
      <c r="H50" s="42">
        <v>400</v>
      </c>
      <c r="I50" s="45"/>
    </row>
    <row r="51" spans="2:9" x14ac:dyDescent="0.25">
      <c r="B51" s="244"/>
      <c r="C51" s="243"/>
      <c r="D51" s="61">
        <v>48</v>
      </c>
      <c r="E51" s="45"/>
      <c r="F51" s="30" t="s">
        <v>580</v>
      </c>
      <c r="G51" s="43"/>
      <c r="H51" s="42">
        <v>500</v>
      </c>
      <c r="I51" s="45"/>
    </row>
    <row r="52" spans="2:9" x14ac:dyDescent="0.25">
      <c r="B52" s="244"/>
      <c r="C52" s="243"/>
      <c r="D52" s="61">
        <v>49</v>
      </c>
      <c r="E52" s="45"/>
      <c r="F52" s="30" t="s">
        <v>591</v>
      </c>
      <c r="G52" s="43"/>
      <c r="H52" s="42">
        <v>750</v>
      </c>
      <c r="I52" s="45"/>
    </row>
    <row r="53" spans="2:9" x14ac:dyDescent="0.25">
      <c r="B53" s="244"/>
      <c r="C53" s="243"/>
      <c r="D53" s="61">
        <v>50</v>
      </c>
      <c r="E53" s="45"/>
      <c r="F53" s="30" t="s">
        <v>551</v>
      </c>
      <c r="G53" s="43"/>
      <c r="H53" s="42">
        <v>1000</v>
      </c>
      <c r="I53" s="45"/>
    </row>
    <row r="54" spans="2:9" x14ac:dyDescent="0.25">
      <c r="B54" s="244"/>
      <c r="C54" s="243" t="s">
        <v>644</v>
      </c>
      <c r="D54" s="61">
        <v>1</v>
      </c>
      <c r="E54" s="45"/>
      <c r="F54" s="30" t="s">
        <v>153</v>
      </c>
      <c r="G54" s="43"/>
      <c r="H54" s="42" t="s">
        <v>524</v>
      </c>
      <c r="I54" s="45"/>
    </row>
    <row r="55" spans="2:9" x14ac:dyDescent="0.25">
      <c r="B55" s="244"/>
      <c r="C55" s="243"/>
      <c r="D55" s="61">
        <v>2</v>
      </c>
      <c r="E55" s="45"/>
      <c r="F55" s="30" t="s">
        <v>151</v>
      </c>
      <c r="G55" s="43"/>
      <c r="H55" s="45"/>
      <c r="I55" s="45"/>
    </row>
    <row r="56" spans="2:9" x14ac:dyDescent="0.25">
      <c r="B56" s="244"/>
      <c r="C56" s="243"/>
      <c r="D56" s="61">
        <v>3</v>
      </c>
      <c r="E56" s="45"/>
      <c r="F56" s="30" t="s">
        <v>111</v>
      </c>
      <c r="G56" s="43"/>
      <c r="H56" s="45"/>
      <c r="I56" s="45"/>
    </row>
    <row r="57" spans="2:9" x14ac:dyDescent="0.25">
      <c r="B57" s="244"/>
      <c r="C57" s="243"/>
      <c r="D57" s="61">
        <v>4</v>
      </c>
      <c r="E57" s="45"/>
      <c r="F57" s="30" t="s">
        <v>576</v>
      </c>
      <c r="G57" s="43"/>
      <c r="H57" s="45"/>
      <c r="I57" s="45"/>
    </row>
    <row r="58" spans="2:9" x14ac:dyDescent="0.25">
      <c r="B58" s="244"/>
      <c r="C58" s="243"/>
      <c r="D58" s="61">
        <v>5</v>
      </c>
      <c r="E58" s="45"/>
      <c r="F58" s="30" t="s">
        <v>520</v>
      </c>
      <c r="G58" s="43"/>
      <c r="H58" s="45"/>
      <c r="I58" s="45"/>
    </row>
    <row r="59" spans="2:9" x14ac:dyDescent="0.25">
      <c r="B59" s="244"/>
      <c r="C59" s="243"/>
      <c r="D59" s="61">
        <v>6</v>
      </c>
      <c r="E59" s="45"/>
      <c r="F59" s="30" t="s">
        <v>541</v>
      </c>
      <c r="G59" s="43"/>
      <c r="H59" s="45"/>
      <c r="I59" s="45"/>
    </row>
    <row r="60" spans="2:9" x14ac:dyDescent="0.25">
      <c r="B60" s="244"/>
      <c r="C60" s="243"/>
      <c r="D60" s="61">
        <v>7</v>
      </c>
      <c r="E60" s="45"/>
      <c r="F60" s="30" t="s">
        <v>154</v>
      </c>
      <c r="G60" s="43"/>
      <c r="H60" s="45"/>
      <c r="I60" s="45"/>
    </row>
    <row r="61" spans="2:9" x14ac:dyDescent="0.25">
      <c r="B61" s="244"/>
      <c r="C61" s="243"/>
      <c r="D61" s="61">
        <v>8</v>
      </c>
      <c r="E61" s="45"/>
      <c r="F61" s="30" t="s">
        <v>145</v>
      </c>
      <c r="G61" s="43"/>
      <c r="H61" s="37"/>
      <c r="I61" s="45"/>
    </row>
    <row r="62" spans="2:9" x14ac:dyDescent="0.25">
      <c r="B62" s="244"/>
      <c r="C62" s="243"/>
      <c r="D62" s="61">
        <v>9</v>
      </c>
      <c r="E62" s="45"/>
      <c r="F62" s="30" t="s">
        <v>535</v>
      </c>
      <c r="G62" s="43"/>
      <c r="H62" s="37"/>
      <c r="I62" s="45"/>
    </row>
    <row r="63" spans="2:9" x14ac:dyDescent="0.25">
      <c r="B63" s="244"/>
      <c r="C63" s="243"/>
      <c r="D63" s="61">
        <v>10</v>
      </c>
      <c r="E63" s="45"/>
      <c r="F63" s="30" t="s">
        <v>112</v>
      </c>
      <c r="G63" s="43"/>
      <c r="H63" s="37"/>
      <c r="I63" s="45"/>
    </row>
    <row r="64" spans="2:9" x14ac:dyDescent="0.25">
      <c r="B64" s="244"/>
      <c r="C64" s="243"/>
      <c r="D64" s="61">
        <v>11</v>
      </c>
      <c r="E64" s="45"/>
      <c r="F64" s="30" t="s">
        <v>137</v>
      </c>
      <c r="G64" s="43"/>
      <c r="H64" s="37"/>
      <c r="I64" s="45"/>
    </row>
    <row r="65" spans="2:9" x14ac:dyDescent="0.25">
      <c r="B65" s="244"/>
      <c r="C65" s="243"/>
      <c r="D65" s="61">
        <v>12</v>
      </c>
      <c r="E65" s="45"/>
      <c r="F65" s="30" t="s">
        <v>102</v>
      </c>
      <c r="G65" s="43"/>
      <c r="H65" s="37"/>
      <c r="I65" s="45"/>
    </row>
    <row r="66" spans="2:9" x14ac:dyDescent="0.25">
      <c r="B66" s="244"/>
      <c r="C66" s="243"/>
      <c r="D66" s="61">
        <v>13</v>
      </c>
      <c r="E66" s="45"/>
      <c r="F66" s="30" t="s">
        <v>592</v>
      </c>
      <c r="G66" s="43"/>
      <c r="H66" s="37"/>
      <c r="I66" s="45"/>
    </row>
    <row r="67" spans="2:9" x14ac:dyDescent="0.25">
      <c r="B67" s="244"/>
      <c r="C67" s="243"/>
      <c r="D67" s="61">
        <v>14</v>
      </c>
      <c r="E67" s="45"/>
      <c r="F67" s="30" t="s">
        <v>129</v>
      </c>
      <c r="G67" s="43"/>
      <c r="H67" s="37"/>
      <c r="I67" s="45"/>
    </row>
    <row r="68" spans="2:9" x14ac:dyDescent="0.25">
      <c r="B68" s="244"/>
      <c r="C68" s="243"/>
      <c r="D68" s="61">
        <v>15</v>
      </c>
      <c r="E68" s="45"/>
      <c r="F68" s="30" t="s">
        <v>527</v>
      </c>
      <c r="G68" s="43"/>
      <c r="H68" s="37"/>
      <c r="I68" s="45"/>
    </row>
    <row r="69" spans="2:9" x14ac:dyDescent="0.25">
      <c r="B69" s="244"/>
      <c r="C69" s="243"/>
      <c r="D69" s="61">
        <v>16</v>
      </c>
      <c r="E69" s="45"/>
      <c r="F69" s="30" t="s">
        <v>610</v>
      </c>
      <c r="G69" s="43"/>
      <c r="H69" s="37"/>
      <c r="I69" s="45"/>
    </row>
    <row r="70" spans="2:9" x14ac:dyDescent="0.25">
      <c r="B70" s="244"/>
      <c r="C70" s="243"/>
      <c r="D70" s="61">
        <v>17</v>
      </c>
      <c r="E70" s="45"/>
      <c r="F70" s="30" t="s">
        <v>532</v>
      </c>
      <c r="G70" s="43"/>
      <c r="H70" s="37"/>
      <c r="I70" s="45"/>
    </row>
    <row r="71" spans="2:9" x14ac:dyDescent="0.25">
      <c r="B71" s="244"/>
      <c r="C71" s="243"/>
      <c r="D71" s="61">
        <v>18</v>
      </c>
      <c r="E71" s="45"/>
      <c r="F71" s="30" t="s">
        <v>140</v>
      </c>
      <c r="G71" s="43"/>
      <c r="H71" s="37"/>
      <c r="I71" s="45"/>
    </row>
    <row r="72" spans="2:9" x14ac:dyDescent="0.25">
      <c r="B72" s="244"/>
      <c r="C72" s="243"/>
      <c r="D72" s="61">
        <v>19</v>
      </c>
      <c r="E72" s="45"/>
      <c r="F72" s="30" t="s">
        <v>623</v>
      </c>
      <c r="G72" s="43"/>
      <c r="H72" s="37"/>
      <c r="I72" s="45"/>
    </row>
    <row r="73" spans="2:9" x14ac:dyDescent="0.25">
      <c r="B73" s="244"/>
      <c r="C73" s="243"/>
      <c r="D73" s="61">
        <v>20</v>
      </c>
      <c r="E73" s="45"/>
      <c r="F73" s="30" t="s">
        <v>142</v>
      </c>
      <c r="G73" s="43"/>
      <c r="H73" s="37"/>
      <c r="I73" s="45"/>
    </row>
    <row r="74" spans="2:9" x14ac:dyDescent="0.25">
      <c r="B74" s="244"/>
      <c r="C74" s="243"/>
      <c r="D74" s="61">
        <v>21</v>
      </c>
      <c r="E74" s="45"/>
      <c r="F74" s="30" t="s">
        <v>149</v>
      </c>
      <c r="G74" s="43"/>
      <c r="H74" s="37"/>
      <c r="I74" s="45"/>
    </row>
    <row r="75" spans="2:9" x14ac:dyDescent="0.25">
      <c r="B75" s="244"/>
      <c r="C75" s="243"/>
      <c r="D75" s="61">
        <v>22</v>
      </c>
      <c r="E75" s="45"/>
      <c r="F75" s="30" t="s">
        <v>150</v>
      </c>
      <c r="G75" s="43"/>
      <c r="H75" s="37"/>
      <c r="I75" s="45"/>
    </row>
    <row r="76" spans="2:9" x14ac:dyDescent="0.25">
      <c r="B76" s="244"/>
      <c r="C76" s="243"/>
      <c r="D76" s="61">
        <v>23</v>
      </c>
      <c r="E76" s="45"/>
      <c r="F76" s="30" t="s">
        <v>529</v>
      </c>
      <c r="G76" s="43"/>
      <c r="H76" s="37"/>
      <c r="I76" s="45"/>
    </row>
    <row r="77" spans="2:9" x14ac:dyDescent="0.25">
      <c r="B77" s="244"/>
      <c r="C77" s="243"/>
      <c r="D77" s="61">
        <v>24</v>
      </c>
      <c r="E77" s="45"/>
      <c r="F77" s="30" t="s">
        <v>598</v>
      </c>
      <c r="G77" s="43"/>
      <c r="H77" s="37"/>
      <c r="I77" s="45"/>
    </row>
    <row r="78" spans="2:9" x14ac:dyDescent="0.25">
      <c r="B78" s="244"/>
      <c r="C78" s="243"/>
      <c r="D78" s="61">
        <v>25</v>
      </c>
      <c r="E78" s="45"/>
      <c r="F78" s="30" t="s">
        <v>143</v>
      </c>
      <c r="G78" s="43"/>
      <c r="H78" s="37"/>
      <c r="I78" s="45"/>
    </row>
    <row r="79" spans="2:9" x14ac:dyDescent="0.25">
      <c r="B79" s="244"/>
      <c r="C79" s="243"/>
      <c r="D79" s="61">
        <v>26</v>
      </c>
      <c r="E79" s="45"/>
      <c r="F79" s="30" t="s">
        <v>586</v>
      </c>
      <c r="G79" s="43"/>
      <c r="H79" s="37"/>
      <c r="I79" s="45"/>
    </row>
    <row r="80" spans="2:9" x14ac:dyDescent="0.25">
      <c r="B80" s="244"/>
      <c r="C80" s="243"/>
      <c r="D80" s="61">
        <v>27</v>
      </c>
      <c r="E80" s="45"/>
      <c r="F80" s="30" t="s">
        <v>134</v>
      </c>
      <c r="G80" s="43"/>
      <c r="H80" s="37"/>
      <c r="I80" s="45"/>
    </row>
    <row r="81" spans="2:9" x14ac:dyDescent="0.25">
      <c r="B81" s="244"/>
      <c r="C81" s="243"/>
      <c r="D81" s="61">
        <v>28</v>
      </c>
      <c r="E81" s="45"/>
      <c r="F81" s="30" t="s">
        <v>534</v>
      </c>
      <c r="G81" s="43"/>
      <c r="H81" s="37"/>
      <c r="I81" s="45"/>
    </row>
    <row r="82" spans="2:9" x14ac:dyDescent="0.25">
      <c r="B82" s="244"/>
      <c r="C82" s="243"/>
      <c r="D82" s="61">
        <v>29</v>
      </c>
      <c r="E82" s="45"/>
      <c r="F82" s="30" t="s">
        <v>113</v>
      </c>
      <c r="G82" s="43"/>
      <c r="H82" s="37"/>
      <c r="I82" s="45"/>
    </row>
    <row r="83" spans="2:9" x14ac:dyDescent="0.25">
      <c r="B83" s="244"/>
      <c r="C83" s="243"/>
      <c r="D83" s="61">
        <v>30</v>
      </c>
      <c r="E83" s="45"/>
      <c r="F83" s="30" t="s">
        <v>266</v>
      </c>
      <c r="G83" s="43"/>
      <c r="H83" s="37"/>
      <c r="I83" s="45"/>
    </row>
    <row r="84" spans="2:9" x14ac:dyDescent="0.25">
      <c r="B84" s="244"/>
      <c r="C84" s="243"/>
      <c r="D84" s="61">
        <v>31</v>
      </c>
      <c r="E84" s="45"/>
      <c r="F84" s="30" t="s">
        <v>619</v>
      </c>
      <c r="G84" s="43"/>
      <c r="H84" s="37"/>
      <c r="I84" s="45"/>
    </row>
    <row r="85" spans="2:9" x14ac:dyDescent="0.25">
      <c r="B85" s="244"/>
      <c r="C85" s="243"/>
      <c r="D85" s="61">
        <v>32</v>
      </c>
      <c r="E85" s="45"/>
      <c r="F85" s="30" t="s">
        <v>115</v>
      </c>
      <c r="G85" s="43"/>
      <c r="H85" s="37"/>
      <c r="I85" s="45"/>
    </row>
    <row r="86" spans="2:9" x14ac:dyDescent="0.25">
      <c r="B86" s="244"/>
      <c r="C86" s="243"/>
      <c r="D86" s="61">
        <v>33</v>
      </c>
      <c r="E86" s="45"/>
      <c r="F86" s="30" t="s">
        <v>116</v>
      </c>
      <c r="G86" s="43"/>
      <c r="H86" s="37"/>
      <c r="I86" s="45"/>
    </row>
    <row r="87" spans="2:9" x14ac:dyDescent="0.25">
      <c r="B87" s="244"/>
      <c r="C87" s="243"/>
      <c r="D87" s="61">
        <v>34</v>
      </c>
      <c r="E87" s="45"/>
      <c r="F87" s="30" t="s">
        <v>620</v>
      </c>
      <c r="G87" s="43"/>
      <c r="H87" s="37"/>
      <c r="I87" s="45"/>
    </row>
    <row r="88" spans="2:9" x14ac:dyDescent="0.25">
      <c r="B88" s="244"/>
      <c r="C88" s="243"/>
      <c r="D88" s="61">
        <v>35</v>
      </c>
      <c r="E88" s="45"/>
      <c r="F88" s="30" t="s">
        <v>584</v>
      </c>
      <c r="G88" s="43"/>
      <c r="H88" s="37"/>
      <c r="I88" s="45"/>
    </row>
    <row r="89" spans="2:9" x14ac:dyDescent="0.25">
      <c r="B89" s="244"/>
      <c r="C89" s="243"/>
      <c r="D89" s="61">
        <v>36</v>
      </c>
      <c r="E89" s="45"/>
      <c r="F89" s="30" t="s">
        <v>526</v>
      </c>
      <c r="G89" s="43"/>
      <c r="H89" s="37"/>
      <c r="I89" s="45"/>
    </row>
    <row r="90" spans="2:9" x14ac:dyDescent="0.25">
      <c r="B90" s="244"/>
      <c r="C90" s="243"/>
      <c r="D90" s="61">
        <v>37</v>
      </c>
      <c r="E90" s="45"/>
      <c r="F90" s="30" t="s">
        <v>604</v>
      </c>
      <c r="G90" s="43"/>
      <c r="H90" s="37"/>
      <c r="I90" s="45"/>
    </row>
    <row r="91" spans="2:9" x14ac:dyDescent="0.25">
      <c r="B91" s="244"/>
      <c r="C91" s="243"/>
      <c r="D91" s="61">
        <v>38</v>
      </c>
      <c r="E91" s="45"/>
      <c r="F91" s="30" t="s">
        <v>621</v>
      </c>
      <c r="G91" s="43"/>
      <c r="H91" s="37"/>
      <c r="I91" s="45"/>
    </row>
    <row r="92" spans="2:9" x14ac:dyDescent="0.25">
      <c r="B92" s="244"/>
      <c r="C92" s="243"/>
      <c r="D92" s="61">
        <v>39</v>
      </c>
      <c r="E92" s="45"/>
      <c r="F92" s="30" t="s">
        <v>587</v>
      </c>
      <c r="G92" s="43"/>
      <c r="H92" s="37"/>
      <c r="I92" s="45"/>
    </row>
    <row r="93" spans="2:9" x14ac:dyDescent="0.25">
      <c r="B93" s="244"/>
      <c r="C93" s="243"/>
      <c r="D93" s="61">
        <v>40</v>
      </c>
      <c r="E93" s="45"/>
      <c r="F93" s="30" t="s">
        <v>543</v>
      </c>
      <c r="G93" s="43"/>
      <c r="H93" s="37"/>
      <c r="I93" s="45"/>
    </row>
    <row r="94" spans="2:9" x14ac:dyDescent="0.25">
      <c r="B94" s="244"/>
      <c r="C94" s="243"/>
      <c r="D94" s="61">
        <v>41</v>
      </c>
      <c r="E94" s="45"/>
      <c r="F94" s="30" t="s">
        <v>611</v>
      </c>
      <c r="G94" s="43"/>
      <c r="H94" s="37"/>
      <c r="I94" s="45"/>
    </row>
    <row r="95" spans="2:9" x14ac:dyDescent="0.25">
      <c r="B95" s="244"/>
      <c r="C95" s="243"/>
      <c r="D95" s="61">
        <v>42</v>
      </c>
      <c r="E95" s="45"/>
      <c r="F95" s="30" t="s">
        <v>617</v>
      </c>
      <c r="G95" s="43"/>
      <c r="H95" s="37"/>
      <c r="I95" s="45"/>
    </row>
    <row r="96" spans="2:9" x14ac:dyDescent="0.25">
      <c r="B96" s="244"/>
      <c r="C96" s="243"/>
      <c r="D96" s="61">
        <v>43</v>
      </c>
      <c r="E96" s="45"/>
      <c r="F96" s="30" t="s">
        <v>616</v>
      </c>
      <c r="G96" s="43"/>
      <c r="H96" s="37"/>
      <c r="I96" s="45"/>
    </row>
    <row r="97" spans="2:9" x14ac:dyDescent="0.25">
      <c r="B97" s="244"/>
      <c r="C97" s="243"/>
      <c r="D97" s="61">
        <v>44</v>
      </c>
      <c r="E97" s="45"/>
      <c r="F97" s="30" t="s">
        <v>600</v>
      </c>
      <c r="G97" s="43"/>
      <c r="H97" s="37"/>
      <c r="I97" s="45"/>
    </row>
    <row r="98" spans="2:9" x14ac:dyDescent="0.25">
      <c r="B98" s="244"/>
      <c r="C98" s="243"/>
      <c r="D98" s="61">
        <v>45</v>
      </c>
      <c r="E98" s="45"/>
      <c r="F98" s="30" t="s">
        <v>48</v>
      </c>
      <c r="G98" s="43"/>
      <c r="H98" s="37"/>
      <c r="I98" s="45"/>
    </row>
    <row r="99" spans="2:9" x14ac:dyDescent="0.25">
      <c r="B99" s="244"/>
      <c r="C99" s="243"/>
      <c r="D99" s="61">
        <v>46</v>
      </c>
      <c r="E99" s="45"/>
      <c r="F99" s="30" t="s">
        <v>597</v>
      </c>
      <c r="G99" s="43"/>
      <c r="H99" s="37"/>
      <c r="I99" s="45"/>
    </row>
    <row r="100" spans="2:9" x14ac:dyDescent="0.25">
      <c r="B100" s="244"/>
      <c r="C100" s="243"/>
      <c r="D100" s="61">
        <v>47</v>
      </c>
      <c r="E100" s="45"/>
      <c r="F100" s="30" t="s">
        <v>36</v>
      </c>
      <c r="G100" s="43"/>
      <c r="H100" s="37"/>
      <c r="I100" s="45"/>
    </row>
    <row r="101" spans="2:9" x14ac:dyDescent="0.25">
      <c r="B101" s="244"/>
      <c r="C101" s="243"/>
      <c r="D101" s="61">
        <v>48</v>
      </c>
      <c r="E101" s="45"/>
      <c r="F101" s="30" t="s">
        <v>574</v>
      </c>
      <c r="G101" s="43"/>
      <c r="H101" s="37"/>
      <c r="I101" s="45"/>
    </row>
    <row r="102" spans="2:9" x14ac:dyDescent="0.25">
      <c r="B102" s="244"/>
      <c r="C102" s="243"/>
      <c r="D102" s="61">
        <v>49</v>
      </c>
      <c r="E102" s="45"/>
      <c r="F102" s="30" t="s">
        <v>599</v>
      </c>
      <c r="G102" s="43"/>
    </row>
    <row r="103" spans="2:9" x14ac:dyDescent="0.25">
      <c r="B103" s="244"/>
      <c r="C103" s="243"/>
      <c r="D103" s="61">
        <v>50</v>
      </c>
      <c r="E103" s="45"/>
      <c r="F103" s="30" t="s">
        <v>544</v>
      </c>
      <c r="G103" s="43"/>
    </row>
    <row r="104" spans="2:9" x14ac:dyDescent="0.25">
      <c r="B104" s="244"/>
      <c r="C104" s="243"/>
      <c r="D104" s="61">
        <v>51</v>
      </c>
      <c r="E104" s="45"/>
      <c r="F104" s="30" t="s">
        <v>155</v>
      </c>
      <c r="G104" s="43"/>
    </row>
    <row r="105" spans="2:9" x14ac:dyDescent="0.25">
      <c r="B105" s="244"/>
      <c r="C105" s="243"/>
      <c r="D105" s="61">
        <v>52</v>
      </c>
      <c r="E105" s="45"/>
      <c r="F105" s="30" t="s">
        <v>144</v>
      </c>
      <c r="G105" s="43"/>
    </row>
    <row r="106" spans="2:9" x14ac:dyDescent="0.25">
      <c r="B106" s="244"/>
      <c r="C106" s="243"/>
      <c r="D106" s="61">
        <v>53</v>
      </c>
      <c r="E106" s="45"/>
      <c r="F106" s="30" t="s">
        <v>87</v>
      </c>
      <c r="G106" s="43"/>
    </row>
    <row r="107" spans="2:9" x14ac:dyDescent="0.25">
      <c r="B107" s="244"/>
      <c r="C107" s="243"/>
      <c r="D107" s="61">
        <v>54</v>
      </c>
      <c r="E107" s="45"/>
      <c r="F107" s="30" t="s">
        <v>614</v>
      </c>
      <c r="G107" s="43"/>
    </row>
    <row r="108" spans="2:9" x14ac:dyDescent="0.25">
      <c r="B108" s="244"/>
      <c r="C108" s="243"/>
      <c r="D108" s="61">
        <v>55</v>
      </c>
      <c r="E108" s="45"/>
      <c r="F108" s="30" t="s">
        <v>545</v>
      </c>
      <c r="G108" s="43"/>
    </row>
    <row r="109" spans="2:9" x14ac:dyDescent="0.25">
      <c r="B109" s="244"/>
      <c r="C109" s="243"/>
      <c r="D109" s="61">
        <v>56</v>
      </c>
      <c r="E109" s="45"/>
      <c r="F109" s="30" t="s">
        <v>624</v>
      </c>
      <c r="G109" s="43"/>
    </row>
    <row r="110" spans="2:9" x14ac:dyDescent="0.25">
      <c r="B110" s="244"/>
      <c r="C110" s="243"/>
      <c r="D110" s="61">
        <v>57</v>
      </c>
      <c r="E110" s="45"/>
      <c r="F110" s="30" t="s">
        <v>519</v>
      </c>
      <c r="G110" s="43"/>
    </row>
    <row r="111" spans="2:9" x14ac:dyDescent="0.25">
      <c r="B111" s="244"/>
      <c r="C111" s="243"/>
      <c r="D111" s="61">
        <v>58</v>
      </c>
      <c r="E111" s="45"/>
      <c r="F111" s="30" t="s">
        <v>76</v>
      </c>
      <c r="G111" s="43"/>
    </row>
    <row r="112" spans="2:9" x14ac:dyDescent="0.25">
      <c r="B112" s="244"/>
      <c r="C112" s="243"/>
      <c r="D112" s="61">
        <v>59</v>
      </c>
      <c r="E112" s="45"/>
      <c r="F112" s="30" t="s">
        <v>117</v>
      </c>
      <c r="G112" s="43"/>
    </row>
    <row r="113" spans="2:7" x14ac:dyDescent="0.25">
      <c r="B113" s="244"/>
      <c r="C113" s="243"/>
      <c r="D113" s="61">
        <v>60</v>
      </c>
      <c r="E113" s="45"/>
      <c r="F113" s="30" t="s">
        <v>606</v>
      </c>
      <c r="G113" s="43"/>
    </row>
    <row r="114" spans="2:7" x14ac:dyDescent="0.25">
      <c r="F114" s="30" t="s">
        <v>156</v>
      </c>
      <c r="G114" s="43"/>
    </row>
    <row r="115" spans="2:7" x14ac:dyDescent="0.25">
      <c r="F115" s="30" t="s">
        <v>27</v>
      </c>
      <c r="G115" s="43"/>
    </row>
    <row r="116" spans="2:7" x14ac:dyDescent="0.25">
      <c r="F116" s="30" t="s">
        <v>159</v>
      </c>
      <c r="G116" s="43"/>
    </row>
    <row r="117" spans="2:7" x14ac:dyDescent="0.25">
      <c r="F117" s="30" t="s">
        <v>159</v>
      </c>
      <c r="G117" s="43"/>
    </row>
    <row r="118" spans="2:7" x14ac:dyDescent="0.25">
      <c r="F118" s="30" t="s">
        <v>118</v>
      </c>
      <c r="G118" s="43"/>
    </row>
    <row r="119" spans="2:7" x14ac:dyDescent="0.25">
      <c r="F119" s="30" t="s">
        <v>583</v>
      </c>
      <c r="G119" s="43"/>
    </row>
    <row r="120" spans="2:7" x14ac:dyDescent="0.25">
      <c r="F120" s="30" t="s">
        <v>136</v>
      </c>
      <c r="G120" s="43"/>
    </row>
    <row r="121" spans="2:7" x14ac:dyDescent="0.25">
      <c r="F121" s="30" t="s">
        <v>132</v>
      </c>
      <c r="G121" s="43"/>
    </row>
    <row r="122" spans="2:7" x14ac:dyDescent="0.25">
      <c r="F122" s="30" t="s">
        <v>138</v>
      </c>
      <c r="G122" s="43"/>
    </row>
    <row r="123" spans="2:7" x14ac:dyDescent="0.25">
      <c r="F123" s="30" t="s">
        <v>525</v>
      </c>
      <c r="G123" s="43"/>
    </row>
    <row r="124" spans="2:7" x14ac:dyDescent="0.25">
      <c r="F124" s="30" t="s">
        <v>625</v>
      </c>
      <c r="G124" s="43"/>
    </row>
    <row r="125" spans="2:7" x14ac:dyDescent="0.25">
      <c r="F125" s="30" t="s">
        <v>563</v>
      </c>
      <c r="G125" s="43"/>
    </row>
    <row r="126" spans="2:7" x14ac:dyDescent="0.25">
      <c r="F126" s="30" t="s">
        <v>141</v>
      </c>
      <c r="G126" s="43"/>
    </row>
    <row r="127" spans="2:7" x14ac:dyDescent="0.25">
      <c r="F127" s="30" t="s">
        <v>575</v>
      </c>
      <c r="G127" s="43"/>
    </row>
    <row r="128" spans="2:7" x14ac:dyDescent="0.25">
      <c r="F128" s="30" t="s">
        <v>618</v>
      </c>
      <c r="G128" s="43"/>
    </row>
    <row r="129" spans="6:7" x14ac:dyDescent="0.25">
      <c r="F129" s="30" t="s">
        <v>130</v>
      </c>
      <c r="G129" s="43"/>
    </row>
    <row r="130" spans="6:7" x14ac:dyDescent="0.25">
      <c r="F130" s="30" t="s">
        <v>148</v>
      </c>
      <c r="G130" s="43"/>
    </row>
    <row r="131" spans="6:7" x14ac:dyDescent="0.25">
      <c r="F131" s="30" t="s">
        <v>119</v>
      </c>
      <c r="G131" s="43"/>
    </row>
    <row r="132" spans="6:7" x14ac:dyDescent="0.25">
      <c r="F132" s="30" t="s">
        <v>119</v>
      </c>
      <c r="G132" s="43"/>
    </row>
    <row r="133" spans="6:7" x14ac:dyDescent="0.25">
      <c r="F133" s="30" t="s">
        <v>585</v>
      </c>
      <c r="G133" s="43"/>
    </row>
    <row r="134" spans="6:7" x14ac:dyDescent="0.25">
      <c r="F134" s="30" t="s">
        <v>578</v>
      </c>
      <c r="G134" s="43"/>
    </row>
    <row r="135" spans="6:7" x14ac:dyDescent="0.25">
      <c r="F135" s="30" t="s">
        <v>131</v>
      </c>
      <c r="G135" s="43"/>
    </row>
    <row r="136" spans="6:7" x14ac:dyDescent="0.25">
      <c r="F136" s="30" t="s">
        <v>622</v>
      </c>
      <c r="G136" s="43"/>
    </row>
    <row r="137" spans="6:7" x14ac:dyDescent="0.25">
      <c r="F137" s="30" t="s">
        <v>120</v>
      </c>
      <c r="G137" s="43"/>
    </row>
    <row r="138" spans="6:7" x14ac:dyDescent="0.25">
      <c r="F138" s="30" t="s">
        <v>528</v>
      </c>
      <c r="G138" s="43"/>
    </row>
    <row r="139" spans="6:7" x14ac:dyDescent="0.25">
      <c r="F139" s="30" t="s">
        <v>157</v>
      </c>
      <c r="G139" s="43"/>
    </row>
    <row r="140" spans="6:7" x14ac:dyDescent="0.25">
      <c r="F140" s="30" t="s">
        <v>612</v>
      </c>
      <c r="G140" s="43"/>
    </row>
    <row r="141" spans="6:7" x14ac:dyDescent="0.25">
      <c r="F141" s="30" t="s">
        <v>121</v>
      </c>
      <c r="G141" s="43"/>
    </row>
    <row r="142" spans="6:7" x14ac:dyDescent="0.25">
      <c r="F142" s="155" t="s">
        <v>631</v>
      </c>
    </row>
  </sheetData>
  <mergeCells count="4">
    <mergeCell ref="C2:D2"/>
    <mergeCell ref="C4:C53"/>
    <mergeCell ref="C54:C113"/>
    <mergeCell ref="B3:B1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5A47-365A-4B62-9FE9-4C4106D6ADF6}">
  <sheetPr>
    <tabColor theme="6" tint="0.79998168889431442"/>
  </sheetPr>
  <dimension ref="B2:K72"/>
  <sheetViews>
    <sheetView zoomScaleNormal="100" workbookViewId="0">
      <pane ySplit="3" topLeftCell="A4" activePane="bottomLeft" state="frozen"/>
      <selection pane="bottomLeft" activeCell="C72" sqref="C31:C72"/>
    </sheetView>
  </sheetViews>
  <sheetFormatPr defaultRowHeight="14.3" x14ac:dyDescent="0.25"/>
  <cols>
    <col min="2" max="2" width="30.625" customWidth="1"/>
    <col min="3" max="4" width="30.625" style="18" customWidth="1"/>
    <col min="5" max="5" width="2.125" style="43" customWidth="1"/>
    <col min="6" max="6" width="30.625" style="18" customWidth="1"/>
    <col min="7" max="7" width="2.125" style="44" customWidth="1"/>
    <col min="8" max="8" width="30.625" customWidth="1"/>
    <col min="9" max="9" width="2.125" style="44" customWidth="1"/>
    <col min="10" max="10" width="26" style="18" customWidth="1"/>
    <col min="11" max="11" width="20.625" customWidth="1"/>
  </cols>
  <sheetData>
    <row r="2" spans="2:11" x14ac:dyDescent="0.25">
      <c r="B2" s="58" t="s">
        <v>1</v>
      </c>
      <c r="C2" s="238" t="s">
        <v>4</v>
      </c>
      <c r="D2" s="238"/>
      <c r="E2" s="150"/>
      <c r="F2" s="177"/>
      <c r="G2" s="148"/>
      <c r="H2" s="179"/>
      <c r="I2" s="148"/>
      <c r="J2" s="187"/>
      <c r="K2" s="74"/>
    </row>
    <row r="3" spans="2:11" x14ac:dyDescent="0.25">
      <c r="B3" s="245" t="s">
        <v>16</v>
      </c>
      <c r="C3" s="76" t="s">
        <v>662</v>
      </c>
      <c r="D3" s="76" t="s">
        <v>663</v>
      </c>
      <c r="E3" s="176"/>
      <c r="F3" s="76" t="s">
        <v>634</v>
      </c>
      <c r="G3" s="149"/>
      <c r="H3" s="75" t="s">
        <v>638</v>
      </c>
      <c r="I3" s="150"/>
      <c r="J3" s="188" t="s">
        <v>645</v>
      </c>
      <c r="K3" s="185" t="s">
        <v>646</v>
      </c>
    </row>
    <row r="4" spans="2:11" x14ac:dyDescent="0.25">
      <c r="B4" s="246"/>
      <c r="C4" s="124" t="s">
        <v>18</v>
      </c>
      <c r="D4" s="128" t="s">
        <v>259</v>
      </c>
      <c r="E4" s="174"/>
      <c r="F4" s="178" t="s">
        <v>39</v>
      </c>
      <c r="G4" s="173"/>
      <c r="H4" s="180">
        <v>100</v>
      </c>
      <c r="I4" s="172"/>
      <c r="J4" s="126" t="s">
        <v>651</v>
      </c>
      <c r="K4" s="248" t="s">
        <v>664</v>
      </c>
    </row>
    <row r="5" spans="2:11" x14ac:dyDescent="0.25">
      <c r="B5" s="246"/>
      <c r="C5" s="125"/>
      <c r="D5" s="123"/>
      <c r="E5" s="174"/>
      <c r="F5" s="126" t="s">
        <v>48</v>
      </c>
      <c r="G5" s="173"/>
      <c r="H5" s="181">
        <v>100</v>
      </c>
      <c r="I5" s="172"/>
      <c r="J5" s="126"/>
      <c r="K5" s="249"/>
    </row>
    <row r="6" spans="2:11" x14ac:dyDescent="0.25">
      <c r="B6" s="246"/>
      <c r="C6" s="125"/>
      <c r="D6" s="123"/>
      <c r="E6" s="174"/>
      <c r="F6" s="126" t="s">
        <v>27</v>
      </c>
      <c r="G6" s="173"/>
      <c r="H6" s="181">
        <v>100</v>
      </c>
      <c r="I6" s="172"/>
      <c r="J6" s="126"/>
      <c r="K6" s="249"/>
    </row>
    <row r="7" spans="2:11" x14ac:dyDescent="0.25">
      <c r="B7" s="246"/>
      <c r="C7" s="125"/>
      <c r="D7" s="123"/>
      <c r="E7" s="174"/>
      <c r="F7" s="126" t="s">
        <v>525</v>
      </c>
      <c r="G7" s="173"/>
      <c r="H7" s="181">
        <v>100</v>
      </c>
      <c r="I7" s="172"/>
      <c r="J7" s="127"/>
      <c r="K7" s="250"/>
    </row>
    <row r="8" spans="2:11" x14ac:dyDescent="0.25">
      <c r="B8" s="246"/>
      <c r="C8" s="124" t="s">
        <v>25</v>
      </c>
      <c r="D8" s="128" t="s">
        <v>259</v>
      </c>
      <c r="E8" s="174"/>
      <c r="F8" s="178" t="s">
        <v>26</v>
      </c>
      <c r="G8" s="173"/>
      <c r="H8" s="180">
        <v>50</v>
      </c>
      <c r="I8" s="172"/>
      <c r="J8" s="178" t="s">
        <v>651</v>
      </c>
    </row>
    <row r="9" spans="2:11" x14ac:dyDescent="0.25">
      <c r="B9" s="246"/>
      <c r="C9" s="125"/>
      <c r="D9" s="123"/>
      <c r="E9" s="174"/>
      <c r="F9" s="126" t="s">
        <v>27</v>
      </c>
      <c r="G9" s="173"/>
      <c r="H9" s="181">
        <v>50</v>
      </c>
      <c r="I9" s="172"/>
      <c r="J9" s="126"/>
    </row>
    <row r="10" spans="2:11" x14ac:dyDescent="0.25">
      <c r="B10" s="246"/>
      <c r="C10" s="125"/>
      <c r="D10" s="123"/>
      <c r="E10" s="174"/>
      <c r="F10" s="126" t="s">
        <v>26</v>
      </c>
      <c r="G10" s="173"/>
      <c r="H10" s="181">
        <v>40</v>
      </c>
      <c r="I10" s="172"/>
      <c r="J10" s="126"/>
    </row>
    <row r="11" spans="2:11" x14ac:dyDescent="0.25">
      <c r="B11" s="246"/>
      <c r="C11" s="125"/>
      <c r="D11" s="123"/>
      <c r="E11" s="174"/>
      <c r="F11" s="126" t="s">
        <v>27</v>
      </c>
      <c r="G11" s="173"/>
      <c r="H11" s="181">
        <v>40</v>
      </c>
      <c r="I11" s="172"/>
      <c r="J11" s="126"/>
    </row>
    <row r="12" spans="2:11" x14ac:dyDescent="0.25">
      <c r="B12" s="246"/>
      <c r="C12" s="125"/>
      <c r="D12" s="123"/>
      <c r="E12" s="174"/>
      <c r="F12" s="126" t="s">
        <v>26</v>
      </c>
      <c r="G12" s="173"/>
      <c r="H12" s="181">
        <v>30</v>
      </c>
      <c r="I12" s="172"/>
      <c r="J12" s="126"/>
    </row>
    <row r="13" spans="2:11" x14ac:dyDescent="0.25">
      <c r="B13" s="246"/>
      <c r="C13" s="125"/>
      <c r="D13" s="123"/>
      <c r="E13" s="174"/>
      <c r="F13" s="126" t="s">
        <v>27</v>
      </c>
      <c r="G13" s="173"/>
      <c r="H13" s="181">
        <v>30</v>
      </c>
      <c r="I13" s="172"/>
      <c r="J13" s="126"/>
    </row>
    <row r="14" spans="2:11" x14ac:dyDescent="0.25">
      <c r="B14" s="246"/>
      <c r="C14" s="125"/>
      <c r="D14" s="123"/>
      <c r="E14" s="174"/>
      <c r="F14" s="126" t="s">
        <v>26</v>
      </c>
      <c r="G14" s="173"/>
      <c r="H14" s="181">
        <v>20</v>
      </c>
      <c r="I14" s="172"/>
      <c r="J14" s="126"/>
    </row>
    <row r="15" spans="2:11" x14ac:dyDescent="0.25">
      <c r="B15" s="246"/>
      <c r="C15" s="125"/>
      <c r="D15" s="123"/>
      <c r="E15" s="174"/>
      <c r="F15" s="126" t="s">
        <v>27</v>
      </c>
      <c r="G15" s="173"/>
      <c r="H15" s="181">
        <v>20</v>
      </c>
      <c r="I15" s="172"/>
      <c r="J15" s="126"/>
    </row>
    <row r="16" spans="2:11" x14ac:dyDescent="0.25">
      <c r="B16" s="246"/>
      <c r="C16" s="125"/>
      <c r="D16" s="123"/>
      <c r="E16" s="174"/>
      <c r="F16" s="126" t="s">
        <v>26</v>
      </c>
      <c r="G16" s="173"/>
      <c r="H16" s="181">
        <v>10</v>
      </c>
      <c r="I16" s="172"/>
      <c r="J16" s="126"/>
    </row>
    <row r="17" spans="2:11" x14ac:dyDescent="0.25">
      <c r="B17" s="246"/>
      <c r="C17" s="129"/>
      <c r="D17" s="130"/>
      <c r="E17" s="174"/>
      <c r="F17" s="127" t="s">
        <v>27</v>
      </c>
      <c r="G17" s="173"/>
      <c r="H17" s="182">
        <v>10</v>
      </c>
      <c r="I17" s="172"/>
      <c r="J17" s="127"/>
    </row>
    <row r="18" spans="2:11" x14ac:dyDescent="0.25">
      <c r="B18" s="246"/>
      <c r="C18" s="124" t="s">
        <v>28</v>
      </c>
      <c r="D18" s="128" t="s">
        <v>654</v>
      </c>
      <c r="E18" s="174"/>
      <c r="F18" s="178" t="s">
        <v>39</v>
      </c>
      <c r="G18" s="173"/>
      <c r="H18" s="180">
        <v>20</v>
      </c>
      <c r="I18" s="172"/>
      <c r="J18" s="178" t="s">
        <v>651</v>
      </c>
    </row>
    <row r="19" spans="2:11" x14ac:dyDescent="0.25">
      <c r="B19" s="246"/>
      <c r="C19" s="125"/>
      <c r="D19" s="123"/>
      <c r="E19" s="174"/>
      <c r="F19" s="126" t="s">
        <v>48</v>
      </c>
      <c r="G19" s="173"/>
      <c r="H19" s="181">
        <v>30</v>
      </c>
      <c r="I19" s="172"/>
      <c r="J19" s="189"/>
    </row>
    <row r="20" spans="2:11" x14ac:dyDescent="0.25">
      <c r="B20" s="246"/>
      <c r="C20" s="125"/>
      <c r="D20" s="123"/>
      <c r="E20" s="174"/>
      <c r="F20" s="126" t="s">
        <v>27</v>
      </c>
      <c r="G20" s="173"/>
      <c r="H20" s="181">
        <v>40</v>
      </c>
      <c r="I20" s="172"/>
      <c r="J20" s="126"/>
    </row>
    <row r="21" spans="2:11" x14ac:dyDescent="0.25">
      <c r="B21" s="246"/>
      <c r="C21" s="129"/>
      <c r="D21" s="130"/>
      <c r="E21" s="174"/>
      <c r="F21" s="127" t="s">
        <v>525</v>
      </c>
      <c r="G21" s="173"/>
      <c r="H21" s="182">
        <v>50</v>
      </c>
      <c r="I21" s="172"/>
      <c r="J21" s="127"/>
    </row>
    <row r="22" spans="2:11" x14ac:dyDescent="0.25">
      <c r="B22" s="246"/>
      <c r="C22" s="124" t="s">
        <v>29</v>
      </c>
      <c r="D22" s="128" t="s">
        <v>655</v>
      </c>
      <c r="E22" s="174"/>
      <c r="F22" s="178" t="s">
        <v>39</v>
      </c>
      <c r="G22" s="173"/>
      <c r="H22" s="180">
        <v>5</v>
      </c>
      <c r="I22" s="172"/>
      <c r="J22" s="190" t="s">
        <v>647</v>
      </c>
      <c r="K22" s="186" t="s">
        <v>648</v>
      </c>
    </row>
    <row r="23" spans="2:11" x14ac:dyDescent="0.25">
      <c r="B23" s="246"/>
      <c r="C23" s="125"/>
      <c r="D23" s="123"/>
      <c r="E23" s="174"/>
      <c r="F23" s="126" t="s">
        <v>48</v>
      </c>
      <c r="G23" s="173"/>
      <c r="H23" s="181">
        <v>10</v>
      </c>
      <c r="I23" s="172"/>
      <c r="J23" s="126"/>
      <c r="K23" s="147"/>
    </row>
    <row r="24" spans="2:11" x14ac:dyDescent="0.25">
      <c r="B24" s="246"/>
      <c r="C24" s="129"/>
      <c r="D24" s="130"/>
      <c r="E24" s="174"/>
      <c r="F24" s="127" t="s">
        <v>525</v>
      </c>
      <c r="G24" s="173"/>
      <c r="H24" s="182">
        <v>15</v>
      </c>
      <c r="I24" s="172"/>
      <c r="J24" s="127"/>
    </row>
    <row r="25" spans="2:11" x14ac:dyDescent="0.25">
      <c r="B25" s="246"/>
      <c r="C25" s="124" t="s">
        <v>31</v>
      </c>
      <c r="D25" s="128" t="s">
        <v>2</v>
      </c>
      <c r="E25" s="174"/>
      <c r="F25" s="178" t="s">
        <v>39</v>
      </c>
      <c r="G25" s="173"/>
      <c r="H25" s="180">
        <v>5</v>
      </c>
      <c r="I25" s="172"/>
      <c r="J25" s="178" t="s">
        <v>649</v>
      </c>
    </row>
    <row r="26" spans="2:11" x14ac:dyDescent="0.25">
      <c r="B26" s="246"/>
      <c r="C26" s="125"/>
      <c r="D26" s="123"/>
      <c r="E26" s="174"/>
      <c r="F26" s="126" t="s">
        <v>48</v>
      </c>
      <c r="G26" s="173"/>
      <c r="H26" s="181">
        <v>10</v>
      </c>
      <c r="I26" s="172"/>
      <c r="J26" s="126"/>
    </row>
    <row r="27" spans="2:11" x14ac:dyDescent="0.25">
      <c r="B27" s="246"/>
      <c r="C27" s="125"/>
      <c r="D27" s="123"/>
      <c r="E27" s="174"/>
      <c r="F27" s="126" t="s">
        <v>525</v>
      </c>
      <c r="G27" s="173"/>
      <c r="H27" s="181">
        <v>15</v>
      </c>
      <c r="I27" s="172"/>
      <c r="J27" s="126"/>
    </row>
    <row r="28" spans="2:11" x14ac:dyDescent="0.25">
      <c r="B28" s="246"/>
      <c r="C28" s="124" t="s">
        <v>32</v>
      </c>
      <c r="D28" s="128" t="s">
        <v>259</v>
      </c>
      <c r="E28" s="174"/>
      <c r="F28" s="178" t="s">
        <v>98</v>
      </c>
      <c r="G28" s="173"/>
      <c r="H28" s="180">
        <v>21</v>
      </c>
      <c r="I28" s="172"/>
      <c r="J28" s="178" t="s">
        <v>651</v>
      </c>
    </row>
    <row r="29" spans="2:11" x14ac:dyDescent="0.25">
      <c r="B29" s="246"/>
      <c r="C29" s="125"/>
      <c r="D29" s="123"/>
      <c r="E29" s="174"/>
      <c r="F29" s="126" t="s">
        <v>33</v>
      </c>
      <c r="G29" s="173"/>
      <c r="H29" s="181">
        <v>21</v>
      </c>
      <c r="I29" s="172"/>
      <c r="J29" s="126"/>
    </row>
    <row r="30" spans="2:11" x14ac:dyDescent="0.25">
      <c r="B30" s="246"/>
      <c r="C30" s="125"/>
      <c r="D30" s="123"/>
      <c r="E30" s="174"/>
      <c r="F30" s="126" t="s">
        <v>650</v>
      </c>
      <c r="G30" s="173"/>
      <c r="H30" s="181">
        <v>15</v>
      </c>
      <c r="I30" s="172"/>
      <c r="J30" s="126"/>
    </row>
    <row r="31" spans="2:11" x14ac:dyDescent="0.25">
      <c r="B31" s="246"/>
      <c r="C31" s="125"/>
      <c r="D31" s="123"/>
      <c r="E31" s="174"/>
      <c r="F31" s="126" t="s">
        <v>33</v>
      </c>
      <c r="G31" s="173"/>
      <c r="H31" s="181">
        <v>15</v>
      </c>
      <c r="I31" s="172"/>
      <c r="J31" s="126"/>
    </row>
    <row r="32" spans="2:11" x14ac:dyDescent="0.25">
      <c r="B32" s="246"/>
      <c r="C32" s="125"/>
      <c r="D32" s="123"/>
      <c r="E32" s="174"/>
      <c r="F32" s="126" t="s">
        <v>98</v>
      </c>
      <c r="G32" s="173"/>
      <c r="H32" s="181">
        <v>9</v>
      </c>
      <c r="I32" s="172"/>
      <c r="J32" s="126"/>
    </row>
    <row r="33" spans="2:10" x14ac:dyDescent="0.25">
      <c r="B33" s="246"/>
      <c r="C33" s="129"/>
      <c r="D33" s="130"/>
      <c r="E33" s="174"/>
      <c r="F33" s="127" t="s">
        <v>33</v>
      </c>
      <c r="G33" s="173"/>
      <c r="H33" s="182">
        <v>9</v>
      </c>
      <c r="I33" s="172"/>
      <c r="J33" s="127"/>
    </row>
    <row r="34" spans="2:10" x14ac:dyDescent="0.25">
      <c r="B34" s="246"/>
      <c r="C34" s="124" t="s">
        <v>34</v>
      </c>
      <c r="D34" s="128" t="s">
        <v>259</v>
      </c>
      <c r="E34" s="174"/>
      <c r="F34" s="178" t="s">
        <v>652</v>
      </c>
      <c r="G34" s="173"/>
      <c r="H34" s="180">
        <v>21</v>
      </c>
      <c r="I34" s="172"/>
      <c r="J34" s="178" t="s">
        <v>651</v>
      </c>
    </row>
    <row r="35" spans="2:10" x14ac:dyDescent="0.25">
      <c r="B35" s="246"/>
      <c r="C35" s="125"/>
      <c r="D35" s="123"/>
      <c r="E35" s="174"/>
      <c r="F35" s="126" t="s">
        <v>36</v>
      </c>
      <c r="G35" s="173"/>
      <c r="H35" s="181">
        <v>21</v>
      </c>
      <c r="I35" s="172"/>
      <c r="J35" s="126"/>
    </row>
    <row r="36" spans="2:10" x14ac:dyDescent="0.25">
      <c r="B36" s="246"/>
      <c r="C36" s="125"/>
      <c r="D36" s="123"/>
      <c r="E36" s="174"/>
      <c r="F36" s="126" t="s">
        <v>652</v>
      </c>
      <c r="G36" s="173"/>
      <c r="H36" s="181">
        <v>15</v>
      </c>
      <c r="I36" s="172"/>
      <c r="J36" s="126"/>
    </row>
    <row r="37" spans="2:10" x14ac:dyDescent="0.25">
      <c r="B37" s="246"/>
      <c r="C37" s="125"/>
      <c r="D37" s="123"/>
      <c r="E37" s="174"/>
      <c r="F37" s="126" t="s">
        <v>36</v>
      </c>
      <c r="G37" s="173"/>
      <c r="H37" s="181">
        <v>15</v>
      </c>
      <c r="I37" s="172"/>
      <c r="J37" s="126"/>
    </row>
    <row r="38" spans="2:10" x14ac:dyDescent="0.25">
      <c r="B38" s="246"/>
      <c r="C38" s="125"/>
      <c r="D38" s="123"/>
      <c r="E38" s="174"/>
      <c r="F38" s="126" t="s">
        <v>652</v>
      </c>
      <c r="G38" s="173"/>
      <c r="H38" s="181">
        <v>9</v>
      </c>
      <c r="I38" s="172"/>
      <c r="J38" s="126"/>
    </row>
    <row r="39" spans="2:10" x14ac:dyDescent="0.25">
      <c r="B39" s="246"/>
      <c r="C39" s="125"/>
      <c r="D39" s="123"/>
      <c r="E39" s="174"/>
      <c r="F39" s="126" t="s">
        <v>36</v>
      </c>
      <c r="G39" s="173"/>
      <c r="H39" s="181">
        <v>9</v>
      </c>
      <c r="I39" s="172"/>
      <c r="J39" s="126"/>
    </row>
    <row r="40" spans="2:10" x14ac:dyDescent="0.25">
      <c r="B40" s="246"/>
      <c r="C40" s="124" t="s">
        <v>37</v>
      </c>
      <c r="D40" s="128" t="s">
        <v>654</v>
      </c>
      <c r="E40" s="174"/>
      <c r="F40" s="178" t="s">
        <v>147</v>
      </c>
      <c r="G40" s="173"/>
      <c r="H40" s="180">
        <v>800</v>
      </c>
      <c r="I40" s="172"/>
      <c r="J40" s="178" t="s">
        <v>651</v>
      </c>
    </row>
    <row r="41" spans="2:10" x14ac:dyDescent="0.25">
      <c r="B41" s="246"/>
      <c r="C41" s="125"/>
      <c r="D41" s="123"/>
      <c r="E41" s="174"/>
      <c r="F41" s="126" t="s">
        <v>653</v>
      </c>
      <c r="G41" s="173"/>
      <c r="H41" s="181">
        <v>30</v>
      </c>
      <c r="I41" s="172"/>
      <c r="J41" s="126"/>
    </row>
    <row r="42" spans="2:10" x14ac:dyDescent="0.25">
      <c r="B42" s="246"/>
      <c r="C42" s="129"/>
      <c r="D42" s="130"/>
      <c r="E42" s="174"/>
      <c r="F42" s="127" t="s">
        <v>39</v>
      </c>
      <c r="G42" s="173"/>
      <c r="H42" s="182">
        <v>30</v>
      </c>
      <c r="I42" s="172"/>
      <c r="J42" s="127"/>
    </row>
    <row r="43" spans="2:10" x14ac:dyDescent="0.25">
      <c r="B43" s="246"/>
      <c r="C43" s="124" t="s">
        <v>38</v>
      </c>
      <c r="D43" s="128" t="s">
        <v>259</v>
      </c>
      <c r="E43" s="174"/>
      <c r="F43" s="178" t="s">
        <v>285</v>
      </c>
      <c r="G43" s="173"/>
      <c r="H43" s="180">
        <v>21</v>
      </c>
      <c r="I43" s="172"/>
      <c r="J43" s="178" t="s">
        <v>651</v>
      </c>
    </row>
    <row r="44" spans="2:10" x14ac:dyDescent="0.25">
      <c r="B44" s="246"/>
      <c r="C44" s="125"/>
      <c r="D44" s="123"/>
      <c r="E44" s="174"/>
      <c r="F44" s="126" t="s">
        <v>39</v>
      </c>
      <c r="G44" s="173"/>
      <c r="H44" s="181">
        <v>21</v>
      </c>
      <c r="I44" s="172"/>
      <c r="J44" s="126"/>
    </row>
    <row r="45" spans="2:10" x14ac:dyDescent="0.25">
      <c r="B45" s="246"/>
      <c r="C45" s="125"/>
      <c r="D45" s="123"/>
      <c r="E45" s="174"/>
      <c r="F45" s="126" t="s">
        <v>285</v>
      </c>
      <c r="G45" s="173"/>
      <c r="H45" s="181">
        <v>15</v>
      </c>
      <c r="I45" s="172"/>
      <c r="J45" s="126"/>
    </row>
    <row r="46" spans="2:10" x14ac:dyDescent="0.25">
      <c r="B46" s="246"/>
      <c r="C46" s="125"/>
      <c r="D46" s="123"/>
      <c r="E46" s="174"/>
      <c r="F46" s="126" t="s">
        <v>39</v>
      </c>
      <c r="G46" s="173"/>
      <c r="H46" s="181">
        <v>15</v>
      </c>
      <c r="I46" s="172"/>
      <c r="J46" s="126"/>
    </row>
    <row r="47" spans="2:10" x14ac:dyDescent="0.25">
      <c r="B47" s="246"/>
      <c r="C47" s="125"/>
      <c r="D47" s="123"/>
      <c r="E47" s="174"/>
      <c r="F47" s="126" t="s">
        <v>285</v>
      </c>
      <c r="G47" s="173"/>
      <c r="H47" s="181">
        <v>9</v>
      </c>
      <c r="I47" s="172"/>
      <c r="J47" s="126"/>
    </row>
    <row r="48" spans="2:10" x14ac:dyDescent="0.25">
      <c r="B48" s="246"/>
      <c r="C48" s="125"/>
      <c r="D48" s="123"/>
      <c r="E48" s="174"/>
      <c r="F48" s="126" t="s">
        <v>39</v>
      </c>
      <c r="G48" s="173"/>
      <c r="H48" s="181">
        <v>9</v>
      </c>
      <c r="I48" s="172"/>
      <c r="J48" s="126"/>
    </row>
    <row r="49" spans="2:10" x14ac:dyDescent="0.25">
      <c r="B49" s="246"/>
      <c r="C49" s="124" t="s">
        <v>41</v>
      </c>
      <c r="D49" s="128" t="s">
        <v>259</v>
      </c>
      <c r="E49" s="174"/>
      <c r="F49" s="178" t="s">
        <v>139</v>
      </c>
      <c r="G49" s="173"/>
      <c r="H49" s="180">
        <v>30</v>
      </c>
      <c r="I49" s="172"/>
      <c r="J49" s="178" t="s">
        <v>651</v>
      </c>
    </row>
    <row r="50" spans="2:10" x14ac:dyDescent="0.25">
      <c r="B50" s="246"/>
      <c r="C50" s="124" t="s">
        <v>42</v>
      </c>
      <c r="D50" s="128" t="s">
        <v>658</v>
      </c>
      <c r="E50" s="174"/>
      <c r="F50" s="178" t="s">
        <v>147</v>
      </c>
      <c r="G50" s="173"/>
      <c r="H50" s="180">
        <v>400</v>
      </c>
      <c r="I50" s="172"/>
      <c r="J50" s="178" t="s">
        <v>651</v>
      </c>
    </row>
    <row r="51" spans="2:10" x14ac:dyDescent="0.25">
      <c r="B51" s="246"/>
      <c r="C51" s="121"/>
      <c r="D51" s="123"/>
      <c r="E51" s="174"/>
      <c r="F51" s="126" t="s">
        <v>656</v>
      </c>
      <c r="G51" s="173"/>
      <c r="H51" s="181">
        <v>21</v>
      </c>
      <c r="I51" s="172"/>
      <c r="J51" s="126"/>
    </row>
    <row r="52" spans="2:10" x14ac:dyDescent="0.25">
      <c r="B52" s="246"/>
      <c r="C52" s="121"/>
      <c r="D52" s="123"/>
      <c r="E52" s="174"/>
      <c r="F52" s="126" t="s">
        <v>39</v>
      </c>
      <c r="G52" s="173"/>
      <c r="H52" s="181">
        <v>12</v>
      </c>
      <c r="I52" s="172"/>
      <c r="J52" s="126"/>
    </row>
    <row r="53" spans="2:10" x14ac:dyDescent="0.25">
      <c r="B53" s="246"/>
      <c r="C53" s="124" t="s">
        <v>44</v>
      </c>
      <c r="D53" s="128" t="s">
        <v>259</v>
      </c>
      <c r="E53" s="174"/>
      <c r="F53" s="178" t="s">
        <v>657</v>
      </c>
      <c r="G53" s="173"/>
      <c r="H53" s="180">
        <v>30</v>
      </c>
      <c r="I53" s="172"/>
      <c r="J53" s="178" t="s">
        <v>651</v>
      </c>
    </row>
    <row r="54" spans="2:10" x14ac:dyDescent="0.25">
      <c r="B54" s="246"/>
      <c r="C54" s="124" t="s">
        <v>46</v>
      </c>
      <c r="D54" s="128" t="s">
        <v>259</v>
      </c>
      <c r="E54" s="174"/>
      <c r="F54" s="178" t="s">
        <v>47</v>
      </c>
      <c r="G54" s="173"/>
      <c r="H54" s="180">
        <v>1000</v>
      </c>
      <c r="I54" s="172"/>
      <c r="J54" s="178" t="s">
        <v>651</v>
      </c>
    </row>
    <row r="55" spans="2:10" x14ac:dyDescent="0.25">
      <c r="B55" s="246"/>
      <c r="C55" s="121"/>
      <c r="D55" s="123"/>
      <c r="E55" s="174"/>
      <c r="F55" s="126" t="s">
        <v>49</v>
      </c>
      <c r="G55" s="173"/>
      <c r="H55" s="181">
        <v>50</v>
      </c>
      <c r="I55" s="172"/>
      <c r="J55" s="126"/>
    </row>
    <row r="56" spans="2:10" x14ac:dyDescent="0.25">
      <c r="B56" s="246"/>
      <c r="C56" s="122"/>
      <c r="D56" s="130"/>
      <c r="E56" s="174"/>
      <c r="F56" s="127" t="s">
        <v>22</v>
      </c>
      <c r="G56" s="173"/>
      <c r="H56" s="182">
        <v>30</v>
      </c>
      <c r="I56" s="172"/>
      <c r="J56" s="127"/>
    </row>
    <row r="57" spans="2:10" x14ac:dyDescent="0.25">
      <c r="B57" s="246"/>
      <c r="C57" s="124" t="s">
        <v>52</v>
      </c>
      <c r="D57" s="128" t="s">
        <v>259</v>
      </c>
      <c r="E57" s="174"/>
      <c r="F57" s="178" t="s">
        <v>53</v>
      </c>
      <c r="G57" s="173"/>
      <c r="H57" s="180">
        <v>150</v>
      </c>
      <c r="I57" s="172"/>
      <c r="J57" s="178" t="s">
        <v>651</v>
      </c>
    </row>
    <row r="58" spans="2:10" x14ac:dyDescent="0.25">
      <c r="B58" s="246"/>
      <c r="C58" s="124" t="s">
        <v>54</v>
      </c>
      <c r="D58" s="128" t="s">
        <v>654</v>
      </c>
      <c r="E58" s="174"/>
      <c r="F58" s="178" t="s">
        <v>55</v>
      </c>
      <c r="G58" s="173"/>
      <c r="H58" s="180">
        <v>400</v>
      </c>
      <c r="I58" s="172"/>
      <c r="J58" s="178" t="s">
        <v>651</v>
      </c>
    </row>
    <row r="59" spans="2:10" x14ac:dyDescent="0.25">
      <c r="B59" s="246"/>
      <c r="C59" s="121"/>
      <c r="D59" s="123"/>
      <c r="E59" s="174"/>
      <c r="F59" s="126" t="s">
        <v>57</v>
      </c>
      <c r="G59" s="173"/>
      <c r="H59" s="181">
        <v>30</v>
      </c>
      <c r="I59" s="172"/>
      <c r="J59" s="126"/>
    </row>
    <row r="60" spans="2:10" x14ac:dyDescent="0.25">
      <c r="B60" s="246"/>
      <c r="C60" s="121"/>
      <c r="D60" s="123"/>
      <c r="E60" s="174"/>
      <c r="F60" s="126" t="s">
        <v>58</v>
      </c>
      <c r="G60" s="173"/>
      <c r="H60" s="181">
        <v>30</v>
      </c>
      <c r="I60" s="172"/>
      <c r="J60" s="126"/>
    </row>
    <row r="61" spans="2:10" x14ac:dyDescent="0.25">
      <c r="B61" s="246"/>
      <c r="C61" s="124" t="s">
        <v>59</v>
      </c>
      <c r="D61" s="128" t="s">
        <v>8</v>
      </c>
      <c r="E61" s="174"/>
      <c r="F61" s="178" t="s">
        <v>60</v>
      </c>
      <c r="G61" s="173"/>
      <c r="H61" s="183" t="s">
        <v>659</v>
      </c>
      <c r="I61" s="173"/>
      <c r="J61" s="178" t="s">
        <v>651</v>
      </c>
    </row>
    <row r="62" spans="2:10" x14ac:dyDescent="0.25">
      <c r="B62" s="246"/>
      <c r="C62" s="125"/>
      <c r="D62" s="123"/>
      <c r="E62" s="174"/>
      <c r="F62" s="126" t="s">
        <v>61</v>
      </c>
      <c r="G62" s="173"/>
      <c r="H62" s="184" t="s">
        <v>660</v>
      </c>
      <c r="I62" s="173"/>
      <c r="J62" s="126"/>
    </row>
    <row r="63" spans="2:10" x14ac:dyDescent="0.25">
      <c r="B63" s="246"/>
      <c r="C63" s="121"/>
      <c r="D63" s="123"/>
      <c r="E63" s="174"/>
      <c r="F63" s="126" t="s">
        <v>62</v>
      </c>
      <c r="G63" s="173"/>
      <c r="H63" s="184" t="s">
        <v>660</v>
      </c>
      <c r="I63" s="173"/>
      <c r="J63" s="189"/>
    </row>
    <row r="64" spans="2:10" x14ac:dyDescent="0.25">
      <c r="B64" s="246"/>
      <c r="C64" s="124" t="s">
        <v>64</v>
      </c>
      <c r="D64" s="128" t="s">
        <v>654</v>
      </c>
      <c r="E64" s="174"/>
      <c r="F64" s="178" t="s">
        <v>65</v>
      </c>
      <c r="G64" s="173"/>
      <c r="H64" s="180" t="s">
        <v>524</v>
      </c>
      <c r="I64" s="172"/>
      <c r="J64" s="178" t="s">
        <v>651</v>
      </c>
    </row>
    <row r="65" spans="2:10" x14ac:dyDescent="0.25">
      <c r="B65" s="246"/>
      <c r="C65" s="125"/>
      <c r="D65" s="123"/>
      <c r="E65" s="174"/>
      <c r="F65" s="126" t="s">
        <v>66</v>
      </c>
      <c r="G65" s="173"/>
      <c r="H65" s="181" t="s">
        <v>524</v>
      </c>
      <c r="I65" s="172"/>
      <c r="J65" s="126"/>
    </row>
    <row r="66" spans="2:10" x14ac:dyDescent="0.25">
      <c r="B66" s="246"/>
      <c r="C66" s="124" t="s">
        <v>67</v>
      </c>
      <c r="D66" s="128" t="s">
        <v>654</v>
      </c>
      <c r="E66" s="174"/>
      <c r="F66" s="178" t="s">
        <v>33</v>
      </c>
      <c r="G66" s="173"/>
      <c r="H66" s="180">
        <v>5</v>
      </c>
      <c r="I66" s="172"/>
      <c r="J66" s="178" t="s">
        <v>651</v>
      </c>
    </row>
    <row r="67" spans="2:10" x14ac:dyDescent="0.25">
      <c r="B67" s="246"/>
      <c r="C67" s="125"/>
      <c r="D67" s="123"/>
      <c r="E67" s="174"/>
      <c r="F67" s="126" t="s">
        <v>526</v>
      </c>
      <c r="G67" s="173"/>
      <c r="H67" s="181">
        <v>10</v>
      </c>
      <c r="I67" s="172"/>
      <c r="J67" s="126"/>
    </row>
    <row r="68" spans="2:10" x14ac:dyDescent="0.25">
      <c r="B68" s="246"/>
      <c r="C68" s="121"/>
      <c r="D68" s="123"/>
      <c r="E68" s="174"/>
      <c r="F68" s="126" t="s">
        <v>39</v>
      </c>
      <c r="G68" s="173"/>
      <c r="H68" s="181">
        <v>15</v>
      </c>
      <c r="I68" s="172"/>
      <c r="J68" s="126"/>
    </row>
    <row r="69" spans="2:10" x14ac:dyDescent="0.25">
      <c r="B69" s="246"/>
      <c r="C69" s="124" t="s">
        <v>70</v>
      </c>
      <c r="D69" s="128" t="s">
        <v>654</v>
      </c>
      <c r="E69" s="174"/>
      <c r="F69" s="178" t="s">
        <v>147</v>
      </c>
      <c r="G69" s="173"/>
      <c r="H69" s="180">
        <v>400</v>
      </c>
      <c r="I69" s="172"/>
      <c r="J69" s="178" t="s">
        <v>651</v>
      </c>
    </row>
    <row r="70" spans="2:10" x14ac:dyDescent="0.25">
      <c r="B70" s="246"/>
      <c r="C70" s="129"/>
      <c r="D70" s="130"/>
      <c r="E70" s="174"/>
      <c r="F70" s="127" t="s">
        <v>114</v>
      </c>
      <c r="G70" s="173"/>
      <c r="H70" s="182">
        <v>15</v>
      </c>
      <c r="I70" s="172"/>
      <c r="J70" s="127"/>
    </row>
    <row r="71" spans="2:10" x14ac:dyDescent="0.25">
      <c r="B71" s="246"/>
      <c r="C71" s="124" t="s">
        <v>71</v>
      </c>
      <c r="D71" s="128" t="s">
        <v>2</v>
      </c>
      <c r="E71" s="174"/>
      <c r="F71" s="178" t="s">
        <v>147</v>
      </c>
      <c r="G71" s="173"/>
      <c r="H71" s="180">
        <v>400</v>
      </c>
      <c r="I71" s="172"/>
      <c r="J71" s="178" t="s">
        <v>649</v>
      </c>
    </row>
    <row r="72" spans="2:10" x14ac:dyDescent="0.25">
      <c r="B72" s="247"/>
      <c r="C72" s="129"/>
      <c r="D72" s="130"/>
      <c r="E72" s="174"/>
      <c r="F72" s="127" t="s">
        <v>661</v>
      </c>
      <c r="G72" s="173"/>
      <c r="H72" s="182" t="s">
        <v>524</v>
      </c>
      <c r="I72" s="172"/>
      <c r="J72" s="127"/>
    </row>
  </sheetData>
  <mergeCells count="3">
    <mergeCell ref="C2:D2"/>
    <mergeCell ref="B3:B72"/>
    <mergeCell ref="K4:K7"/>
  </mergeCells>
  <phoneticPr fontId="2" type="noConversion"/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D365D-A353-4B68-B897-120FEB27606F}">
  <sheetPr>
    <tabColor rgb="FF0070C0"/>
  </sheetPr>
  <dimension ref="B1:M590"/>
  <sheetViews>
    <sheetView zoomScaleNormal="100" workbookViewId="0">
      <pane ySplit="2" topLeftCell="A3" activePane="bottomLeft" state="frozen"/>
      <selection pane="bottomLeft" activeCell="J236" sqref="J236"/>
    </sheetView>
  </sheetViews>
  <sheetFormatPr defaultRowHeight="14.3" x14ac:dyDescent="0.25"/>
  <cols>
    <col min="2" max="2" width="30.625" customWidth="1"/>
    <col min="3" max="4" width="30.625" style="18" customWidth="1"/>
    <col min="5" max="5" width="2.125" style="175" customWidth="1"/>
    <col min="6" max="6" width="30.625" style="18" customWidth="1"/>
    <col min="7" max="7" width="2.125" style="175" customWidth="1"/>
    <col min="8" max="8" width="30.625" style="20" customWidth="1"/>
    <col min="9" max="9" width="2.125" style="197" customWidth="1"/>
    <col min="10" max="10" width="30.625" style="18" customWidth="1"/>
    <col min="11" max="11" width="30.625" customWidth="1"/>
  </cols>
  <sheetData>
    <row r="1" spans="2:13" s="88" customFormat="1" ht="16.3" x14ac:dyDescent="0.3">
      <c r="B1" s="86" t="s">
        <v>1</v>
      </c>
      <c r="C1" s="251" t="s">
        <v>4</v>
      </c>
      <c r="D1" s="251"/>
      <c r="E1" s="199"/>
      <c r="F1" s="95"/>
      <c r="G1" s="198"/>
      <c r="H1" s="119"/>
      <c r="I1" s="193"/>
      <c r="J1" s="96"/>
      <c r="K1" s="87"/>
    </row>
    <row r="2" spans="2:13" s="88" customFormat="1" ht="16.3" x14ac:dyDescent="0.3">
      <c r="B2" s="89" t="s">
        <v>17</v>
      </c>
      <c r="C2" s="97" t="s">
        <v>984</v>
      </c>
      <c r="D2" s="97" t="s">
        <v>985</v>
      </c>
      <c r="E2" s="200"/>
      <c r="F2" s="97" t="s">
        <v>986</v>
      </c>
      <c r="G2" s="198"/>
      <c r="H2" s="90" t="s">
        <v>987</v>
      </c>
      <c r="I2" s="194"/>
      <c r="J2" s="98" t="s">
        <v>645</v>
      </c>
      <c r="K2" s="91" t="s">
        <v>646</v>
      </c>
    </row>
    <row r="3" spans="2:13" x14ac:dyDescent="0.25">
      <c r="C3" s="99" t="s">
        <v>20</v>
      </c>
      <c r="D3" s="100" t="s">
        <v>658</v>
      </c>
      <c r="E3" s="225"/>
      <c r="F3" s="101" t="s">
        <v>536</v>
      </c>
      <c r="G3" s="222"/>
      <c r="H3" s="80">
        <v>30</v>
      </c>
      <c r="I3" s="227"/>
      <c r="J3" s="102" t="s">
        <v>982</v>
      </c>
      <c r="K3" s="81"/>
      <c r="L3" s="4"/>
      <c r="M3" s="4"/>
    </row>
    <row r="4" spans="2:13" x14ac:dyDescent="0.25">
      <c r="C4" s="103"/>
      <c r="D4" s="104"/>
      <c r="E4" s="223"/>
      <c r="F4" s="105" t="s">
        <v>39</v>
      </c>
      <c r="G4" s="223"/>
      <c r="H4" s="82">
        <v>30</v>
      </c>
      <c r="I4" s="228"/>
      <c r="J4" s="104"/>
      <c r="K4" s="83"/>
      <c r="L4" s="4"/>
      <c r="M4" s="4"/>
    </row>
    <row r="5" spans="2:13" x14ac:dyDescent="0.25">
      <c r="C5" s="94"/>
      <c r="D5" s="106"/>
      <c r="E5" s="224"/>
      <c r="F5" s="107" t="s">
        <v>147</v>
      </c>
      <c r="G5" s="224"/>
      <c r="H5" s="84">
        <v>800</v>
      </c>
      <c r="I5" s="229"/>
      <c r="J5" s="106"/>
      <c r="K5" s="85"/>
      <c r="L5" s="4"/>
      <c r="M5" s="4"/>
    </row>
    <row r="6" spans="2:13" ht="16.3" x14ac:dyDescent="0.25">
      <c r="C6" s="99" t="s">
        <v>24</v>
      </c>
      <c r="D6" s="102" t="s">
        <v>983</v>
      </c>
      <c r="E6" s="222"/>
      <c r="F6" s="101" t="s">
        <v>39</v>
      </c>
      <c r="G6" s="222"/>
      <c r="H6" s="80">
        <v>50</v>
      </c>
      <c r="I6" s="227"/>
      <c r="J6" s="102" t="s">
        <v>982</v>
      </c>
      <c r="K6" s="92"/>
      <c r="L6" s="39"/>
      <c r="M6" s="4"/>
    </row>
    <row r="7" spans="2:13" ht="16.3" x14ac:dyDescent="0.25">
      <c r="C7" s="103"/>
      <c r="D7" s="104"/>
      <c r="E7" s="223"/>
      <c r="F7" s="105" t="s">
        <v>147</v>
      </c>
      <c r="G7" s="223"/>
      <c r="H7" s="82">
        <v>400</v>
      </c>
      <c r="I7" s="228"/>
      <c r="J7" s="104"/>
      <c r="K7" s="93"/>
      <c r="L7" s="39"/>
      <c r="M7" s="4"/>
    </row>
    <row r="8" spans="2:13" ht="16.3" x14ac:dyDescent="0.25">
      <c r="C8" s="103"/>
      <c r="D8" s="104"/>
      <c r="E8" s="223"/>
      <c r="F8" s="105" t="s">
        <v>119</v>
      </c>
      <c r="G8" s="223"/>
      <c r="H8" s="82">
        <v>21</v>
      </c>
      <c r="I8" s="228"/>
      <c r="J8" s="104"/>
      <c r="K8" s="83"/>
      <c r="L8" s="39"/>
      <c r="M8" s="4"/>
    </row>
    <row r="9" spans="2:13" ht="16.3" x14ac:dyDescent="0.25">
      <c r="C9" s="103"/>
      <c r="D9" s="104"/>
      <c r="E9" s="223"/>
      <c r="F9" s="105" t="s">
        <v>147</v>
      </c>
      <c r="G9" s="223"/>
      <c r="H9" s="82">
        <v>800</v>
      </c>
      <c r="I9" s="228"/>
      <c r="J9" s="104"/>
      <c r="K9" s="83"/>
      <c r="L9" s="39"/>
      <c r="M9" s="4"/>
    </row>
    <row r="10" spans="2:13" ht="16.3" x14ac:dyDescent="0.25">
      <c r="C10" s="103"/>
      <c r="D10" s="104"/>
      <c r="E10" s="223"/>
      <c r="F10" s="105" t="s">
        <v>119</v>
      </c>
      <c r="G10" s="223"/>
      <c r="H10" s="82">
        <v>21</v>
      </c>
      <c r="I10" s="228"/>
      <c r="J10" s="104"/>
      <c r="K10" s="83"/>
      <c r="L10" s="39"/>
      <c r="M10" s="4"/>
    </row>
    <row r="11" spans="2:13" ht="16.3" x14ac:dyDescent="0.25">
      <c r="C11" s="103"/>
      <c r="D11" s="104"/>
      <c r="E11" s="223"/>
      <c r="F11" s="105" t="s">
        <v>147</v>
      </c>
      <c r="G11" s="223"/>
      <c r="H11" s="82">
        <v>400</v>
      </c>
      <c r="I11" s="228"/>
      <c r="J11" s="104"/>
      <c r="K11" s="83"/>
      <c r="L11" s="39"/>
      <c r="M11" s="4"/>
    </row>
    <row r="12" spans="2:13" ht="16.3" x14ac:dyDescent="0.25">
      <c r="C12" s="103"/>
      <c r="D12" s="104"/>
      <c r="E12" s="223"/>
      <c r="F12" s="105" t="s">
        <v>39</v>
      </c>
      <c r="G12" s="223"/>
      <c r="H12" s="82">
        <v>50</v>
      </c>
      <c r="I12" s="228"/>
      <c r="J12" s="104"/>
      <c r="K12" s="83"/>
      <c r="L12" s="39"/>
      <c r="M12" s="4"/>
    </row>
    <row r="13" spans="2:13" ht="16.3" x14ac:dyDescent="0.25">
      <c r="C13" s="99" t="s">
        <v>30</v>
      </c>
      <c r="D13" s="102" t="s">
        <v>983</v>
      </c>
      <c r="E13" s="222"/>
      <c r="F13" s="101" t="s">
        <v>525</v>
      </c>
      <c r="G13" s="222"/>
      <c r="H13" s="80">
        <v>100</v>
      </c>
      <c r="I13" s="227"/>
      <c r="J13" s="102" t="s">
        <v>982</v>
      </c>
      <c r="K13" s="74"/>
      <c r="L13" s="39"/>
      <c r="M13" s="4"/>
    </row>
    <row r="14" spans="2:13" ht="16.3" x14ac:dyDescent="0.25">
      <c r="C14" s="103"/>
      <c r="D14" s="105"/>
      <c r="E14" s="226"/>
      <c r="F14" s="105" t="s">
        <v>537</v>
      </c>
      <c r="G14" s="223"/>
      <c r="H14" s="82">
        <v>5</v>
      </c>
      <c r="I14" s="228"/>
      <c r="J14" s="104"/>
      <c r="K14" s="93"/>
      <c r="L14" s="39"/>
      <c r="M14" s="4"/>
    </row>
    <row r="15" spans="2:13" ht="16.3" x14ac:dyDescent="0.25">
      <c r="C15" s="103"/>
      <c r="D15" s="104"/>
      <c r="E15" s="223"/>
      <c r="F15" s="105" t="s">
        <v>525</v>
      </c>
      <c r="G15" s="223"/>
      <c r="H15" s="82">
        <v>75</v>
      </c>
      <c r="I15" s="228"/>
      <c r="J15" s="104"/>
      <c r="K15" s="93"/>
      <c r="L15" s="39"/>
      <c r="M15" s="4"/>
    </row>
    <row r="16" spans="2:13" ht="16.3" x14ac:dyDescent="0.25">
      <c r="C16" s="103"/>
      <c r="D16" s="104"/>
      <c r="E16" s="223"/>
      <c r="F16" s="105" t="s">
        <v>537</v>
      </c>
      <c r="G16" s="223"/>
      <c r="H16" s="82">
        <v>10</v>
      </c>
      <c r="I16" s="228"/>
      <c r="J16" s="104"/>
      <c r="K16" s="93"/>
      <c r="L16" s="39"/>
      <c r="M16" s="4"/>
    </row>
    <row r="17" spans="3:13" ht="16.3" x14ac:dyDescent="0.25">
      <c r="C17" s="103"/>
      <c r="D17" s="104"/>
      <c r="E17" s="223"/>
      <c r="F17" s="105" t="s">
        <v>525</v>
      </c>
      <c r="G17" s="223"/>
      <c r="H17" s="82">
        <v>50</v>
      </c>
      <c r="I17" s="228"/>
      <c r="J17" s="104"/>
      <c r="K17" s="83"/>
      <c r="L17" s="39"/>
      <c r="M17" s="4"/>
    </row>
    <row r="18" spans="3:13" ht="16.3" x14ac:dyDescent="0.25">
      <c r="C18" s="103"/>
      <c r="D18" s="104"/>
      <c r="E18" s="223"/>
      <c r="F18" s="105" t="s">
        <v>537</v>
      </c>
      <c r="G18" s="223"/>
      <c r="H18" s="82">
        <v>15</v>
      </c>
      <c r="I18" s="228"/>
      <c r="J18" s="104"/>
      <c r="K18" s="83"/>
      <c r="L18" s="39"/>
      <c r="M18" s="4"/>
    </row>
    <row r="19" spans="3:13" ht="16.3" x14ac:dyDescent="0.25">
      <c r="C19" s="103"/>
      <c r="D19" s="104"/>
      <c r="E19" s="223"/>
      <c r="F19" s="105" t="s">
        <v>525</v>
      </c>
      <c r="G19" s="223"/>
      <c r="H19" s="82">
        <v>25</v>
      </c>
      <c r="I19" s="228"/>
      <c r="J19" s="104"/>
      <c r="K19" s="83"/>
      <c r="L19" s="39"/>
      <c r="M19" s="4"/>
    </row>
    <row r="20" spans="3:13" ht="16.3" x14ac:dyDescent="0.25">
      <c r="C20" s="94"/>
      <c r="D20" s="106"/>
      <c r="E20" s="224"/>
      <c r="F20" s="107" t="s">
        <v>537</v>
      </c>
      <c r="G20" s="224"/>
      <c r="H20" s="84">
        <v>20</v>
      </c>
      <c r="I20" s="229"/>
      <c r="J20" s="106"/>
      <c r="K20" s="85"/>
      <c r="L20" s="39"/>
      <c r="M20" s="4"/>
    </row>
    <row r="21" spans="3:13" ht="16.3" x14ac:dyDescent="0.25">
      <c r="C21" s="99" t="s">
        <v>35</v>
      </c>
      <c r="D21" s="102" t="s">
        <v>983</v>
      </c>
      <c r="E21" s="222"/>
      <c r="F21" s="101" t="s">
        <v>538</v>
      </c>
      <c r="G21" s="222"/>
      <c r="H21" s="80">
        <v>21</v>
      </c>
      <c r="I21" s="227"/>
      <c r="J21" s="102" t="s">
        <v>982</v>
      </c>
      <c r="K21" s="92"/>
      <c r="L21" s="39"/>
      <c r="M21" s="4"/>
    </row>
    <row r="22" spans="3:13" ht="16.3" x14ac:dyDescent="0.25">
      <c r="C22" s="103"/>
      <c r="D22" s="104"/>
      <c r="E22" s="223"/>
      <c r="F22" s="105" t="s">
        <v>39</v>
      </c>
      <c r="G22" s="223"/>
      <c r="H22" s="82">
        <v>42</v>
      </c>
      <c r="I22" s="228"/>
      <c r="J22" s="104"/>
      <c r="K22" s="93"/>
      <c r="L22" s="39"/>
      <c r="M22" s="4"/>
    </row>
    <row r="23" spans="3:13" ht="16.3" x14ac:dyDescent="0.25">
      <c r="C23" s="103"/>
      <c r="D23" s="104"/>
      <c r="E23" s="223"/>
      <c r="F23" s="105" t="s">
        <v>538</v>
      </c>
      <c r="G23" s="223"/>
      <c r="H23" s="82">
        <v>15</v>
      </c>
      <c r="I23" s="228"/>
      <c r="J23" s="104"/>
      <c r="K23" s="83"/>
      <c r="L23" s="39"/>
      <c r="M23" s="4"/>
    </row>
    <row r="24" spans="3:13" ht="16.3" x14ac:dyDescent="0.25">
      <c r="C24" s="103"/>
      <c r="D24" s="104"/>
      <c r="E24" s="223"/>
      <c r="F24" s="105" t="s">
        <v>39</v>
      </c>
      <c r="G24" s="223"/>
      <c r="H24" s="82">
        <v>30</v>
      </c>
      <c r="I24" s="228"/>
      <c r="J24" s="104"/>
      <c r="K24" s="83"/>
      <c r="L24" s="39"/>
      <c r="M24" s="4"/>
    </row>
    <row r="25" spans="3:13" ht="16.3" x14ac:dyDescent="0.25">
      <c r="C25" s="108"/>
      <c r="D25" s="104"/>
      <c r="E25" s="223"/>
      <c r="F25" s="105" t="s">
        <v>538</v>
      </c>
      <c r="G25" s="223"/>
      <c r="H25" s="82">
        <v>9</v>
      </c>
      <c r="I25" s="228"/>
      <c r="J25" s="104"/>
      <c r="K25" s="83"/>
      <c r="L25" s="39"/>
      <c r="M25" s="4"/>
    </row>
    <row r="26" spans="3:13" ht="16.3" x14ac:dyDescent="0.25">
      <c r="C26" s="109"/>
      <c r="D26" s="106"/>
      <c r="E26" s="224"/>
      <c r="F26" s="107" t="s">
        <v>39</v>
      </c>
      <c r="G26" s="224"/>
      <c r="H26" s="84">
        <v>18</v>
      </c>
      <c r="I26" s="229"/>
      <c r="J26" s="106"/>
      <c r="K26" s="85"/>
      <c r="L26" s="39"/>
      <c r="M26" s="4"/>
    </row>
    <row r="27" spans="3:13" ht="16.3" x14ac:dyDescent="0.25">
      <c r="C27" s="99" t="s">
        <v>40</v>
      </c>
      <c r="D27" s="102" t="s">
        <v>658</v>
      </c>
      <c r="E27" s="222"/>
      <c r="F27" s="101" t="s">
        <v>539</v>
      </c>
      <c r="G27" s="222"/>
      <c r="H27" s="80">
        <v>21</v>
      </c>
      <c r="I27" s="227"/>
      <c r="J27" s="102" t="s">
        <v>982</v>
      </c>
      <c r="K27" s="92"/>
      <c r="L27" s="39"/>
      <c r="M27" s="4"/>
    </row>
    <row r="28" spans="3:13" ht="16.3" x14ac:dyDescent="0.25">
      <c r="C28" s="103"/>
      <c r="D28" s="104"/>
      <c r="E28" s="223"/>
      <c r="F28" s="105" t="s">
        <v>39</v>
      </c>
      <c r="G28" s="223"/>
      <c r="H28" s="82">
        <v>21</v>
      </c>
      <c r="I28" s="228"/>
      <c r="J28" s="104"/>
      <c r="K28" s="83"/>
      <c r="L28" s="39"/>
      <c r="M28" s="4"/>
    </row>
    <row r="29" spans="3:13" ht="16.3" x14ac:dyDescent="0.25">
      <c r="C29" s="103"/>
      <c r="D29" s="104"/>
      <c r="E29" s="223"/>
      <c r="F29" s="105" t="s">
        <v>539</v>
      </c>
      <c r="G29" s="223"/>
      <c r="H29" s="82">
        <v>21</v>
      </c>
      <c r="I29" s="228"/>
      <c r="J29" s="104"/>
      <c r="K29" s="83"/>
      <c r="L29" s="39"/>
      <c r="M29" s="4"/>
    </row>
    <row r="30" spans="3:13" ht="16.3" x14ac:dyDescent="0.25">
      <c r="C30" s="94"/>
      <c r="D30" s="106"/>
      <c r="E30" s="224"/>
      <c r="F30" s="107" t="s">
        <v>39</v>
      </c>
      <c r="G30" s="224"/>
      <c r="H30" s="84">
        <v>21</v>
      </c>
      <c r="I30" s="229"/>
      <c r="J30" s="106"/>
      <c r="K30" s="85"/>
      <c r="L30" s="39"/>
      <c r="M30" s="4"/>
    </row>
    <row r="31" spans="3:13" ht="16.3" x14ac:dyDescent="0.25">
      <c r="C31" s="99" t="s">
        <v>43</v>
      </c>
      <c r="D31" s="102" t="s">
        <v>991</v>
      </c>
      <c r="E31" s="222"/>
      <c r="F31" s="101" t="s">
        <v>33</v>
      </c>
      <c r="G31" s="222"/>
      <c r="H31" s="80">
        <v>21</v>
      </c>
      <c r="I31" s="227"/>
      <c r="J31" s="102" t="s">
        <v>982</v>
      </c>
      <c r="K31" s="92"/>
      <c r="L31" s="39"/>
      <c r="M31" s="4"/>
    </row>
    <row r="32" spans="3:13" ht="16.3" x14ac:dyDescent="0.25">
      <c r="C32" s="103"/>
      <c r="D32" s="104"/>
      <c r="E32" s="223"/>
      <c r="F32" s="105" t="s">
        <v>45</v>
      </c>
      <c r="G32" s="223"/>
      <c r="H32" s="82">
        <v>21</v>
      </c>
      <c r="I32" s="228"/>
      <c r="J32" s="104"/>
      <c r="K32" s="93"/>
      <c r="L32" s="39"/>
      <c r="M32" s="4"/>
    </row>
    <row r="33" spans="3:13" ht="16.3" x14ac:dyDescent="0.25">
      <c r="C33" s="103"/>
      <c r="D33" s="104"/>
      <c r="E33" s="223"/>
      <c r="F33" s="105" t="s">
        <v>48</v>
      </c>
      <c r="G33" s="223"/>
      <c r="H33" s="82">
        <v>21</v>
      </c>
      <c r="I33" s="228"/>
      <c r="J33" s="104"/>
      <c r="K33" s="83"/>
      <c r="L33" s="39"/>
      <c r="M33" s="4"/>
    </row>
    <row r="34" spans="3:13" ht="16.3" x14ac:dyDescent="0.25">
      <c r="C34" s="103"/>
      <c r="D34" s="104"/>
      <c r="E34" s="223"/>
      <c r="F34" s="105" t="s">
        <v>33</v>
      </c>
      <c r="G34" s="223"/>
      <c r="H34" s="82">
        <v>15</v>
      </c>
      <c r="I34" s="228"/>
      <c r="J34" s="104"/>
      <c r="K34" s="83"/>
      <c r="L34" s="39"/>
      <c r="M34" s="4"/>
    </row>
    <row r="35" spans="3:13" ht="16.3" x14ac:dyDescent="0.25">
      <c r="C35" s="103"/>
      <c r="D35" s="104"/>
      <c r="E35" s="223"/>
      <c r="F35" s="105" t="s">
        <v>45</v>
      </c>
      <c r="G35" s="223"/>
      <c r="H35" s="82">
        <v>15</v>
      </c>
      <c r="I35" s="228"/>
      <c r="J35" s="104"/>
      <c r="K35" s="83"/>
      <c r="L35" s="39"/>
      <c r="M35" s="4"/>
    </row>
    <row r="36" spans="3:13" ht="16.3" x14ac:dyDescent="0.25">
      <c r="C36" s="103"/>
      <c r="D36" s="104"/>
      <c r="E36" s="223"/>
      <c r="F36" s="105" t="s">
        <v>48</v>
      </c>
      <c r="G36" s="223"/>
      <c r="H36" s="82">
        <v>15</v>
      </c>
      <c r="I36" s="228"/>
      <c r="J36" s="104"/>
      <c r="K36" s="83"/>
      <c r="L36" s="39"/>
      <c r="M36" s="4"/>
    </row>
    <row r="37" spans="3:13" ht="16.3" x14ac:dyDescent="0.25">
      <c r="C37" s="103"/>
      <c r="D37" s="104"/>
      <c r="E37" s="223"/>
      <c r="F37" s="105" t="s">
        <v>33</v>
      </c>
      <c r="G37" s="223"/>
      <c r="H37" s="82">
        <v>9</v>
      </c>
      <c r="I37" s="228"/>
      <c r="J37" s="104"/>
      <c r="K37" s="83"/>
      <c r="L37" s="39"/>
      <c r="M37" s="4"/>
    </row>
    <row r="38" spans="3:13" ht="16.3" x14ac:dyDescent="0.25">
      <c r="C38" s="103"/>
      <c r="D38" s="104"/>
      <c r="E38" s="223"/>
      <c r="F38" s="105" t="s">
        <v>45</v>
      </c>
      <c r="G38" s="223"/>
      <c r="H38" s="82">
        <v>9</v>
      </c>
      <c r="I38" s="228"/>
      <c r="J38" s="104"/>
      <c r="K38" s="83"/>
      <c r="L38" s="39"/>
      <c r="M38" s="4"/>
    </row>
    <row r="39" spans="3:13" ht="16.3" x14ac:dyDescent="0.25">
      <c r="C39" s="94"/>
      <c r="D39" s="106"/>
      <c r="E39" s="224"/>
      <c r="F39" s="107" t="s">
        <v>48</v>
      </c>
      <c r="G39" s="224"/>
      <c r="H39" s="84">
        <v>9</v>
      </c>
      <c r="I39" s="229"/>
      <c r="J39" s="106"/>
      <c r="K39" s="85"/>
      <c r="L39" s="39"/>
      <c r="M39" s="4"/>
    </row>
    <row r="40" spans="3:13" ht="16.3" x14ac:dyDescent="0.25">
      <c r="C40" s="99" t="s">
        <v>50</v>
      </c>
      <c r="D40" s="102" t="s">
        <v>658</v>
      </c>
      <c r="E40" s="222"/>
      <c r="F40" s="101" t="s">
        <v>23</v>
      </c>
      <c r="G40" s="222"/>
      <c r="H40" s="80">
        <v>800</v>
      </c>
      <c r="I40" s="227"/>
      <c r="J40" s="102" t="s">
        <v>982</v>
      </c>
      <c r="K40" s="92" t="s">
        <v>21</v>
      </c>
      <c r="L40" s="39"/>
      <c r="M40" s="4"/>
    </row>
    <row r="41" spans="3:13" ht="16.3" x14ac:dyDescent="0.25">
      <c r="C41" s="103"/>
      <c r="D41" s="104"/>
      <c r="E41" s="223"/>
      <c r="F41" s="105" t="s">
        <v>530</v>
      </c>
      <c r="G41" s="223"/>
      <c r="H41" s="82">
        <v>50</v>
      </c>
      <c r="I41" s="228"/>
      <c r="J41" s="104"/>
      <c r="K41" s="93"/>
      <c r="L41" s="39"/>
      <c r="M41" s="4"/>
    </row>
    <row r="42" spans="3:13" ht="16.3" x14ac:dyDescent="0.25">
      <c r="C42" s="94"/>
      <c r="D42" s="106"/>
      <c r="E42" s="224"/>
      <c r="F42" s="107" t="s">
        <v>27</v>
      </c>
      <c r="G42" s="224"/>
      <c r="H42" s="84">
        <v>50</v>
      </c>
      <c r="I42" s="229"/>
      <c r="J42" s="106"/>
      <c r="K42" s="85"/>
      <c r="L42" s="39"/>
      <c r="M42" s="4"/>
    </row>
    <row r="43" spans="3:13" ht="16.3" x14ac:dyDescent="0.25">
      <c r="C43" s="99" t="s">
        <v>56</v>
      </c>
      <c r="D43" s="102" t="s">
        <v>988</v>
      </c>
      <c r="E43" s="222"/>
      <c r="F43" s="101" t="s">
        <v>147</v>
      </c>
      <c r="G43" s="222"/>
      <c r="H43" s="80" t="s">
        <v>540</v>
      </c>
      <c r="I43" s="227"/>
      <c r="J43" s="102" t="s">
        <v>982</v>
      </c>
      <c r="K43" s="92" t="s">
        <v>19</v>
      </c>
      <c r="L43" s="39"/>
      <c r="M43" s="4"/>
    </row>
    <row r="44" spans="3:13" ht="16.3" x14ac:dyDescent="0.25">
      <c r="C44" s="103"/>
      <c r="D44" s="104"/>
      <c r="E44" s="223"/>
      <c r="F44" s="105" t="s">
        <v>39</v>
      </c>
      <c r="G44" s="223"/>
      <c r="H44" s="82">
        <v>100</v>
      </c>
      <c r="I44" s="228"/>
      <c r="J44" s="104"/>
      <c r="K44" s="83"/>
      <c r="L44" s="39"/>
      <c r="M44" s="4"/>
    </row>
    <row r="45" spans="3:13" ht="16.3" x14ac:dyDescent="0.25">
      <c r="C45" s="103"/>
      <c r="D45" s="104"/>
      <c r="E45" s="223"/>
      <c r="F45" s="105" t="s">
        <v>48</v>
      </c>
      <c r="G45" s="223"/>
      <c r="H45" s="82">
        <v>200</v>
      </c>
      <c r="I45" s="228"/>
      <c r="J45" s="104"/>
      <c r="K45" s="93"/>
      <c r="L45" s="39"/>
      <c r="M45" s="4"/>
    </row>
    <row r="46" spans="3:13" ht="16.3" x14ac:dyDescent="0.25">
      <c r="C46" s="103"/>
      <c r="D46" s="104"/>
      <c r="E46" s="223"/>
      <c r="F46" s="105" t="s">
        <v>525</v>
      </c>
      <c r="G46" s="223"/>
      <c r="H46" s="82">
        <v>300</v>
      </c>
      <c r="I46" s="228"/>
      <c r="J46" s="104"/>
      <c r="K46" s="83"/>
      <c r="L46" s="39"/>
      <c r="M46" s="4"/>
    </row>
    <row r="47" spans="3:13" ht="16.3" x14ac:dyDescent="0.25">
      <c r="C47" s="94"/>
      <c r="D47" s="106"/>
      <c r="E47" s="224"/>
      <c r="F47" s="107" t="s">
        <v>147</v>
      </c>
      <c r="G47" s="224"/>
      <c r="H47" s="84" t="s">
        <v>540</v>
      </c>
      <c r="I47" s="229"/>
      <c r="J47" s="106"/>
      <c r="K47" s="85"/>
      <c r="L47" s="39"/>
      <c r="M47" s="4"/>
    </row>
    <row r="48" spans="3:13" ht="16.3" x14ac:dyDescent="0.25">
      <c r="C48" s="99" t="s">
        <v>63</v>
      </c>
      <c r="D48" s="102" t="s">
        <v>2</v>
      </c>
      <c r="E48" s="222"/>
      <c r="F48" s="101" t="s">
        <v>537</v>
      </c>
      <c r="G48" s="222"/>
      <c r="H48" s="80">
        <v>2</v>
      </c>
      <c r="I48" s="227"/>
      <c r="J48" s="102" t="s">
        <v>989</v>
      </c>
      <c r="K48" s="92"/>
      <c r="L48" s="39"/>
      <c r="M48" s="4"/>
    </row>
    <row r="49" spans="3:13" ht="16.3" x14ac:dyDescent="0.25">
      <c r="C49" s="103"/>
      <c r="D49" s="104"/>
      <c r="E49" s="223"/>
      <c r="F49" s="105" t="s">
        <v>541</v>
      </c>
      <c r="G49" s="223"/>
      <c r="H49" s="82">
        <v>4</v>
      </c>
      <c r="I49" s="228"/>
      <c r="J49" s="104"/>
      <c r="K49" s="83"/>
      <c r="L49" s="39"/>
      <c r="M49" s="4"/>
    </row>
    <row r="50" spans="3:13" ht="16.3" x14ac:dyDescent="0.25">
      <c r="C50" s="94"/>
      <c r="D50" s="106"/>
      <c r="E50" s="224"/>
      <c r="F50" s="107" t="s">
        <v>542</v>
      </c>
      <c r="G50" s="224"/>
      <c r="H50" s="84">
        <v>8</v>
      </c>
      <c r="I50" s="229"/>
      <c r="J50" s="106"/>
      <c r="K50" s="85"/>
      <c r="L50" s="39"/>
      <c r="M50" s="4"/>
    </row>
    <row r="51" spans="3:13" ht="16.3" x14ac:dyDescent="0.25">
      <c r="C51" s="99" t="s">
        <v>68</v>
      </c>
      <c r="D51" s="102" t="s">
        <v>990</v>
      </c>
      <c r="E51" s="222"/>
      <c r="F51" s="101" t="s">
        <v>543</v>
      </c>
      <c r="G51" s="222"/>
      <c r="H51" s="80">
        <v>75</v>
      </c>
      <c r="I51" s="227"/>
      <c r="J51" s="102" t="s">
        <v>982</v>
      </c>
      <c r="K51" s="92"/>
      <c r="L51" s="39"/>
      <c r="M51" s="4"/>
    </row>
    <row r="52" spans="3:13" ht="16.3" x14ac:dyDescent="0.25">
      <c r="C52" s="99" t="s">
        <v>69</v>
      </c>
      <c r="D52" s="102" t="s">
        <v>983</v>
      </c>
      <c r="E52" s="222"/>
      <c r="F52" s="101" t="s">
        <v>119</v>
      </c>
      <c r="G52" s="222"/>
      <c r="H52" s="80">
        <v>21</v>
      </c>
      <c r="I52" s="227"/>
      <c r="J52" s="102" t="s">
        <v>982</v>
      </c>
      <c r="K52" s="92"/>
      <c r="L52" s="39"/>
      <c r="M52" s="4"/>
    </row>
    <row r="53" spans="3:13" ht="16.3" x14ac:dyDescent="0.25">
      <c r="C53" s="103"/>
      <c r="D53" s="104"/>
      <c r="E53" s="223"/>
      <c r="F53" s="105" t="s">
        <v>544</v>
      </c>
      <c r="G53" s="223"/>
      <c r="H53" s="82">
        <v>12</v>
      </c>
      <c r="I53" s="228"/>
      <c r="J53" s="104"/>
      <c r="K53" s="83"/>
      <c r="L53" s="39"/>
      <c r="M53" s="4"/>
    </row>
    <row r="54" spans="3:13" ht="16.3" x14ac:dyDescent="0.25">
      <c r="C54" s="103"/>
      <c r="D54" s="104"/>
      <c r="E54" s="223"/>
      <c r="F54" s="105" t="s">
        <v>119</v>
      </c>
      <c r="G54" s="223"/>
      <c r="H54" s="82">
        <v>15</v>
      </c>
      <c r="I54" s="228"/>
      <c r="J54" s="104"/>
      <c r="K54" s="83"/>
      <c r="L54" s="39"/>
      <c r="M54" s="4"/>
    </row>
    <row r="55" spans="3:13" ht="16.3" x14ac:dyDescent="0.25">
      <c r="C55" s="103"/>
      <c r="D55" s="104"/>
      <c r="E55" s="223"/>
      <c r="F55" s="105" t="s">
        <v>544</v>
      </c>
      <c r="G55" s="223"/>
      <c r="H55" s="82">
        <v>9</v>
      </c>
      <c r="I55" s="228"/>
      <c r="J55" s="104"/>
      <c r="K55" s="83"/>
      <c r="L55" s="39"/>
      <c r="M55" s="4"/>
    </row>
    <row r="56" spans="3:13" ht="16.3" x14ac:dyDescent="0.25">
      <c r="C56" s="103"/>
      <c r="D56" s="104"/>
      <c r="E56" s="223"/>
      <c r="F56" s="105" t="s">
        <v>119</v>
      </c>
      <c r="G56" s="223"/>
      <c r="H56" s="82">
        <v>9</v>
      </c>
      <c r="I56" s="228"/>
      <c r="J56" s="104"/>
      <c r="K56" s="83"/>
      <c r="L56" s="39"/>
      <c r="M56" s="4"/>
    </row>
    <row r="57" spans="3:13" ht="16.3" x14ac:dyDescent="0.25">
      <c r="C57" s="94"/>
      <c r="D57" s="106"/>
      <c r="E57" s="224"/>
      <c r="F57" s="107" t="s">
        <v>544</v>
      </c>
      <c r="G57" s="224"/>
      <c r="H57" s="84">
        <v>6</v>
      </c>
      <c r="I57" s="229"/>
      <c r="J57" s="106"/>
      <c r="K57" s="85"/>
      <c r="L57" s="39"/>
      <c r="M57" s="4"/>
    </row>
    <row r="58" spans="3:13" ht="16.3" x14ac:dyDescent="0.25">
      <c r="C58" s="99" t="s">
        <v>408</v>
      </c>
      <c r="D58" s="102" t="s">
        <v>983</v>
      </c>
      <c r="E58" s="222"/>
      <c r="F58" s="101" t="s">
        <v>147</v>
      </c>
      <c r="G58" s="222"/>
      <c r="H58" s="80">
        <v>800</v>
      </c>
      <c r="I58" s="227"/>
      <c r="J58" s="102" t="s">
        <v>982</v>
      </c>
      <c r="K58" s="92"/>
      <c r="L58" s="39"/>
      <c r="M58" s="4"/>
    </row>
    <row r="59" spans="3:13" ht="16.3" x14ac:dyDescent="0.25">
      <c r="C59" s="110"/>
      <c r="D59" s="104"/>
      <c r="E59" s="223"/>
      <c r="F59" s="105" t="s">
        <v>545</v>
      </c>
      <c r="G59" s="223"/>
      <c r="H59" s="82">
        <v>400</v>
      </c>
      <c r="I59" s="228"/>
      <c r="J59" s="104"/>
      <c r="K59" s="83"/>
      <c r="L59" s="39"/>
      <c r="M59" s="4"/>
    </row>
    <row r="60" spans="3:13" ht="16.3" x14ac:dyDescent="0.25">
      <c r="C60" s="110"/>
      <c r="D60" s="104"/>
      <c r="E60" s="223"/>
      <c r="F60" s="105" t="s">
        <v>410</v>
      </c>
      <c r="G60" s="223"/>
      <c r="H60" s="82">
        <v>800</v>
      </c>
      <c r="I60" s="228"/>
      <c r="J60" s="104"/>
      <c r="K60" s="83"/>
      <c r="L60" s="39"/>
      <c r="M60" s="4"/>
    </row>
    <row r="61" spans="3:13" ht="16.3" x14ac:dyDescent="0.25">
      <c r="C61" s="111"/>
      <c r="D61" s="106"/>
      <c r="E61" s="224"/>
      <c r="F61" s="107" t="s">
        <v>409</v>
      </c>
      <c r="G61" s="224"/>
      <c r="H61" s="84">
        <v>400</v>
      </c>
      <c r="I61" s="229"/>
      <c r="J61" s="106"/>
      <c r="K61" s="85"/>
      <c r="L61" s="39"/>
      <c r="M61" s="4"/>
    </row>
    <row r="62" spans="3:13" ht="16.3" x14ac:dyDescent="0.25">
      <c r="C62" s="99" t="s">
        <v>411</v>
      </c>
      <c r="D62" s="102" t="s">
        <v>654</v>
      </c>
      <c r="E62" s="222"/>
      <c r="F62" s="101" t="s">
        <v>537</v>
      </c>
      <c r="G62" s="222"/>
      <c r="H62" s="80">
        <v>7</v>
      </c>
      <c r="I62" s="227"/>
      <c r="J62" s="102" t="s">
        <v>982</v>
      </c>
      <c r="K62" s="92"/>
      <c r="L62" s="39"/>
      <c r="M62" s="4"/>
    </row>
    <row r="63" spans="3:13" ht="16.3" x14ac:dyDescent="0.25">
      <c r="C63" s="111"/>
      <c r="D63" s="106"/>
      <c r="E63" s="224"/>
      <c r="F63" s="107" t="s">
        <v>146</v>
      </c>
      <c r="G63" s="224"/>
      <c r="H63" s="84">
        <v>21</v>
      </c>
      <c r="I63" s="229"/>
      <c r="J63" s="106"/>
      <c r="K63" s="85"/>
      <c r="L63" s="39"/>
      <c r="M63" s="4"/>
    </row>
    <row r="64" spans="3:13" ht="16.3" x14ac:dyDescent="0.25">
      <c r="C64" s="99" t="s">
        <v>412</v>
      </c>
      <c r="D64" s="102" t="s">
        <v>654</v>
      </c>
      <c r="E64" s="222"/>
      <c r="F64" s="101" t="s">
        <v>547</v>
      </c>
      <c r="G64" s="222"/>
      <c r="H64" s="80">
        <v>15</v>
      </c>
      <c r="I64" s="227"/>
      <c r="J64" s="102" t="s">
        <v>982</v>
      </c>
      <c r="K64" s="92"/>
      <c r="L64" s="39"/>
      <c r="M64" s="4"/>
    </row>
    <row r="65" spans="3:13" ht="16.3" x14ac:dyDescent="0.25">
      <c r="C65" s="111"/>
      <c r="D65" s="106"/>
      <c r="E65" s="224"/>
      <c r="F65" s="107" t="s">
        <v>39</v>
      </c>
      <c r="G65" s="224"/>
      <c r="H65" s="84">
        <v>21</v>
      </c>
      <c r="I65" s="229"/>
      <c r="J65" s="106"/>
      <c r="K65" s="85"/>
      <c r="L65" s="39"/>
      <c r="M65" s="4"/>
    </row>
    <row r="66" spans="3:13" ht="16.3" x14ac:dyDescent="0.25">
      <c r="C66" s="99" t="s">
        <v>414</v>
      </c>
      <c r="D66" s="102" t="s">
        <v>654</v>
      </c>
      <c r="E66" s="222"/>
      <c r="F66" s="101" t="s">
        <v>415</v>
      </c>
      <c r="G66" s="222"/>
      <c r="H66" s="80">
        <v>400</v>
      </c>
      <c r="I66" s="227"/>
      <c r="J66" s="102" t="s">
        <v>982</v>
      </c>
      <c r="K66" s="92"/>
      <c r="L66" s="39"/>
      <c r="M66" s="4"/>
    </row>
    <row r="67" spans="3:13" ht="16.3" x14ac:dyDescent="0.25">
      <c r="C67" s="110"/>
      <c r="D67" s="104"/>
      <c r="E67" s="223"/>
      <c r="F67" s="105" t="s">
        <v>27</v>
      </c>
      <c r="G67" s="223"/>
      <c r="H67" s="82">
        <v>30</v>
      </c>
      <c r="I67" s="228"/>
      <c r="J67" s="104"/>
      <c r="K67" s="83"/>
      <c r="L67" s="39"/>
      <c r="M67" s="4"/>
    </row>
    <row r="68" spans="3:13" ht="16.3" x14ac:dyDescent="0.25">
      <c r="C68" s="111"/>
      <c r="D68" s="106"/>
      <c r="E68" s="224"/>
      <c r="F68" s="107" t="s">
        <v>78</v>
      </c>
      <c r="G68" s="224"/>
      <c r="H68" s="84">
        <v>15</v>
      </c>
      <c r="I68" s="229"/>
      <c r="J68" s="106"/>
      <c r="K68" s="85"/>
      <c r="L68" s="39"/>
      <c r="M68" s="4"/>
    </row>
    <row r="69" spans="3:13" ht="16.3" x14ac:dyDescent="0.25">
      <c r="C69" s="99" t="s">
        <v>416</v>
      </c>
      <c r="D69" s="102" t="s">
        <v>654</v>
      </c>
      <c r="E69" s="222"/>
      <c r="F69" s="101" t="s">
        <v>554</v>
      </c>
      <c r="G69" s="222"/>
      <c r="H69" s="80">
        <v>12</v>
      </c>
      <c r="I69" s="227"/>
      <c r="J69" s="102" t="s">
        <v>982</v>
      </c>
      <c r="K69" s="92"/>
      <c r="L69" s="39"/>
      <c r="M69" s="4"/>
    </row>
    <row r="70" spans="3:13" ht="16.3" x14ac:dyDescent="0.25">
      <c r="C70" s="110"/>
      <c r="D70" s="104"/>
      <c r="E70" s="223"/>
      <c r="F70" s="105" t="s">
        <v>555</v>
      </c>
      <c r="G70" s="223"/>
      <c r="H70" s="82">
        <v>9</v>
      </c>
      <c r="I70" s="228"/>
      <c r="J70" s="104"/>
      <c r="K70" s="83"/>
      <c r="L70" s="39"/>
      <c r="M70" s="4"/>
    </row>
    <row r="71" spans="3:13" ht="16.3" x14ac:dyDescent="0.25">
      <c r="C71" s="111"/>
      <c r="D71" s="106"/>
      <c r="E71" s="224"/>
      <c r="F71" s="107" t="s">
        <v>553</v>
      </c>
      <c r="G71" s="224"/>
      <c r="H71" s="84">
        <v>6</v>
      </c>
      <c r="I71" s="229"/>
      <c r="J71" s="106"/>
      <c r="K71" s="85"/>
      <c r="L71" s="39"/>
      <c r="M71" s="4"/>
    </row>
    <row r="72" spans="3:13" ht="16.3" x14ac:dyDescent="0.25">
      <c r="C72" s="99" t="s">
        <v>417</v>
      </c>
      <c r="D72" s="102" t="s">
        <v>2</v>
      </c>
      <c r="E72" s="222"/>
      <c r="F72" s="101" t="s">
        <v>548</v>
      </c>
      <c r="G72" s="222"/>
      <c r="H72" s="80">
        <v>30</v>
      </c>
      <c r="I72" s="227"/>
      <c r="J72" s="102" t="s">
        <v>989</v>
      </c>
      <c r="K72" s="92"/>
      <c r="L72" s="39"/>
      <c r="M72" s="4"/>
    </row>
    <row r="73" spans="3:13" ht="16.3" x14ac:dyDescent="0.25">
      <c r="C73" s="103"/>
      <c r="D73" s="104"/>
      <c r="E73" s="223"/>
      <c r="F73" s="105" t="s">
        <v>549</v>
      </c>
      <c r="G73" s="223"/>
      <c r="H73" s="82">
        <v>20</v>
      </c>
      <c r="I73" s="228"/>
      <c r="J73" s="104"/>
      <c r="K73" s="83"/>
      <c r="L73" s="39"/>
      <c r="M73" s="4"/>
    </row>
    <row r="74" spans="3:13" ht="16.3" x14ac:dyDescent="0.25">
      <c r="C74" s="94"/>
      <c r="D74" s="106"/>
      <c r="E74" s="224"/>
      <c r="F74" s="107" t="s">
        <v>39</v>
      </c>
      <c r="G74" s="224"/>
      <c r="H74" s="84">
        <v>30</v>
      </c>
      <c r="I74" s="229"/>
      <c r="J74" s="106"/>
      <c r="K74" s="85"/>
      <c r="L74" s="39"/>
      <c r="M74" s="4"/>
    </row>
    <row r="75" spans="3:13" ht="16.3" x14ac:dyDescent="0.25">
      <c r="C75" s="99" t="s">
        <v>419</v>
      </c>
      <c r="D75" s="102" t="s">
        <v>654</v>
      </c>
      <c r="E75" s="222"/>
      <c r="F75" s="101" t="s">
        <v>550</v>
      </c>
      <c r="G75" s="222"/>
      <c r="H75" s="80">
        <v>30</v>
      </c>
      <c r="I75" s="227"/>
      <c r="J75" s="102" t="s">
        <v>982</v>
      </c>
      <c r="K75" s="92"/>
      <c r="L75" s="39"/>
      <c r="M75" s="4"/>
    </row>
    <row r="76" spans="3:13" ht="16.3" x14ac:dyDescent="0.25">
      <c r="C76" s="103"/>
      <c r="D76" s="104"/>
      <c r="E76" s="223"/>
      <c r="F76" s="105" t="s">
        <v>146</v>
      </c>
      <c r="G76" s="223"/>
      <c r="H76" s="82">
        <v>30</v>
      </c>
      <c r="I76" s="228"/>
      <c r="J76" s="104"/>
      <c r="K76" s="83"/>
      <c r="L76" s="39"/>
      <c r="M76" s="4"/>
    </row>
    <row r="77" spans="3:13" ht="16.3" x14ac:dyDescent="0.25">
      <c r="C77" s="111"/>
      <c r="D77" s="106"/>
      <c r="E77" s="224"/>
      <c r="F77" s="107" t="s">
        <v>551</v>
      </c>
      <c r="G77" s="224"/>
      <c r="H77" s="84">
        <v>30</v>
      </c>
      <c r="I77" s="229"/>
      <c r="J77" s="106"/>
      <c r="K77" s="85"/>
      <c r="L77" s="39"/>
      <c r="M77" s="4"/>
    </row>
    <row r="78" spans="3:13" ht="16.3" x14ac:dyDescent="0.25">
      <c r="C78" s="112" t="s">
        <v>420</v>
      </c>
      <c r="D78" s="102" t="s">
        <v>654</v>
      </c>
      <c r="E78" s="222"/>
      <c r="F78" s="101" t="s">
        <v>537</v>
      </c>
      <c r="G78" s="222"/>
      <c r="H78" s="80">
        <v>7</v>
      </c>
      <c r="I78" s="227"/>
      <c r="J78" s="102" t="s">
        <v>982</v>
      </c>
      <c r="K78" s="92"/>
      <c r="L78" s="39"/>
      <c r="M78" s="4"/>
    </row>
    <row r="79" spans="3:13" ht="16.3" x14ac:dyDescent="0.25">
      <c r="C79" s="111"/>
      <c r="D79" s="106"/>
      <c r="E79" s="224"/>
      <c r="F79" s="107" t="s">
        <v>552</v>
      </c>
      <c r="G79" s="224"/>
      <c r="H79" s="84">
        <v>21</v>
      </c>
      <c r="I79" s="229"/>
      <c r="J79" s="106"/>
      <c r="K79" s="85"/>
      <c r="L79" s="39"/>
      <c r="M79" s="4"/>
    </row>
    <row r="80" spans="3:13" ht="16.3" x14ac:dyDescent="0.25">
      <c r="C80" s="112" t="s">
        <v>421</v>
      </c>
      <c r="D80" s="102" t="s">
        <v>991</v>
      </c>
      <c r="E80" s="222"/>
      <c r="F80" s="101" t="s">
        <v>556</v>
      </c>
      <c r="G80" s="222"/>
      <c r="H80" s="80">
        <v>20</v>
      </c>
      <c r="I80" s="227"/>
      <c r="J80" s="102" t="s">
        <v>982</v>
      </c>
      <c r="K80" s="92"/>
      <c r="L80" s="39"/>
      <c r="M80" s="4"/>
    </row>
    <row r="81" spans="3:13" ht="16.3" x14ac:dyDescent="0.25">
      <c r="C81" s="110"/>
      <c r="D81" s="104"/>
      <c r="E81" s="223"/>
      <c r="F81" s="105" t="s">
        <v>147</v>
      </c>
      <c r="G81" s="223"/>
      <c r="H81" s="82">
        <v>400</v>
      </c>
      <c r="I81" s="228"/>
      <c r="J81" s="104"/>
      <c r="K81" s="83"/>
      <c r="L81" s="39"/>
      <c r="M81" s="4"/>
    </row>
    <row r="82" spans="3:13" ht="16.3" x14ac:dyDescent="0.25">
      <c r="C82" s="110"/>
      <c r="D82" s="104"/>
      <c r="E82" s="223"/>
      <c r="F82" s="105" t="s">
        <v>542</v>
      </c>
      <c r="G82" s="223"/>
      <c r="H82" s="82">
        <v>20</v>
      </c>
      <c r="I82" s="228"/>
      <c r="J82" s="104"/>
      <c r="K82" s="83"/>
      <c r="L82" s="39"/>
      <c r="M82" s="4"/>
    </row>
    <row r="83" spans="3:13" ht="16.3" x14ac:dyDescent="0.25">
      <c r="C83" s="110"/>
      <c r="D83" s="104"/>
      <c r="E83" s="223"/>
      <c r="F83" s="105" t="s">
        <v>147</v>
      </c>
      <c r="G83" s="223"/>
      <c r="H83" s="82">
        <v>400</v>
      </c>
      <c r="I83" s="228"/>
      <c r="J83" s="104"/>
      <c r="K83" s="83"/>
      <c r="L83" s="39"/>
      <c r="M83" s="4"/>
    </row>
    <row r="84" spans="3:13" ht="16.3" x14ac:dyDescent="0.25">
      <c r="C84" s="110"/>
      <c r="D84" s="104"/>
      <c r="E84" s="223"/>
      <c r="F84" s="105" t="s">
        <v>266</v>
      </c>
      <c r="G84" s="223"/>
      <c r="H84" s="82">
        <v>20</v>
      </c>
      <c r="I84" s="228"/>
      <c r="J84" s="104"/>
      <c r="K84" s="83"/>
      <c r="L84" s="39"/>
      <c r="M84" s="4"/>
    </row>
    <row r="85" spans="3:13" ht="16.3" x14ac:dyDescent="0.25">
      <c r="C85" s="110"/>
      <c r="D85" s="104"/>
      <c r="E85" s="223"/>
      <c r="F85" s="105" t="s">
        <v>147</v>
      </c>
      <c r="G85" s="223"/>
      <c r="H85" s="82">
        <v>400</v>
      </c>
      <c r="I85" s="228"/>
      <c r="J85" s="104"/>
      <c r="K85" s="83"/>
      <c r="L85" s="39"/>
      <c r="M85" s="4"/>
    </row>
    <row r="86" spans="3:13" ht="16.3" x14ac:dyDescent="0.25">
      <c r="C86" s="110"/>
      <c r="D86" s="104"/>
      <c r="E86" s="223"/>
      <c r="F86" s="105" t="s">
        <v>146</v>
      </c>
      <c r="G86" s="223"/>
      <c r="H86" s="82">
        <v>20</v>
      </c>
      <c r="I86" s="228"/>
      <c r="J86" s="104"/>
      <c r="K86" s="83"/>
      <c r="L86" s="39"/>
      <c r="M86" s="4"/>
    </row>
    <row r="87" spans="3:13" ht="16.3" x14ac:dyDescent="0.25">
      <c r="C87" s="110"/>
      <c r="D87" s="104"/>
      <c r="E87" s="223"/>
      <c r="F87" s="105" t="s">
        <v>147</v>
      </c>
      <c r="G87" s="223"/>
      <c r="H87" s="82">
        <v>400</v>
      </c>
      <c r="I87" s="228"/>
      <c r="J87" s="104"/>
      <c r="K87" s="83"/>
      <c r="L87" s="39"/>
      <c r="M87" s="4"/>
    </row>
    <row r="88" spans="3:13" ht="16.3" x14ac:dyDescent="0.25">
      <c r="C88" s="110"/>
      <c r="D88" s="104"/>
      <c r="E88" s="223"/>
      <c r="F88" s="105" t="s">
        <v>557</v>
      </c>
      <c r="G88" s="223"/>
      <c r="H88" s="82">
        <v>20</v>
      </c>
      <c r="I88" s="228"/>
      <c r="J88" s="104"/>
      <c r="K88" s="83"/>
      <c r="L88" s="39"/>
      <c r="M88" s="4"/>
    </row>
    <row r="89" spans="3:13" ht="16.3" x14ac:dyDescent="0.25">
      <c r="C89" s="110"/>
      <c r="D89" s="104"/>
      <c r="E89" s="223"/>
      <c r="F89" s="105" t="s">
        <v>147</v>
      </c>
      <c r="G89" s="223"/>
      <c r="H89" s="82">
        <v>400</v>
      </c>
      <c r="I89" s="228"/>
      <c r="J89" s="104"/>
      <c r="K89" s="83"/>
      <c r="L89" s="39"/>
      <c r="M89" s="4"/>
    </row>
    <row r="90" spans="3:13" ht="16.3" x14ac:dyDescent="0.25">
      <c r="C90" s="110"/>
      <c r="D90" s="104"/>
      <c r="E90" s="223"/>
      <c r="F90" s="105" t="s">
        <v>531</v>
      </c>
      <c r="G90" s="223"/>
      <c r="H90" s="82">
        <v>20</v>
      </c>
      <c r="I90" s="228"/>
      <c r="J90" s="104"/>
      <c r="K90" s="83"/>
      <c r="L90" s="39"/>
      <c r="M90" s="4"/>
    </row>
    <row r="91" spans="3:13" ht="16.3" x14ac:dyDescent="0.25">
      <c r="C91" s="110"/>
      <c r="D91" s="104"/>
      <c r="E91" s="223"/>
      <c r="F91" s="105" t="s">
        <v>147</v>
      </c>
      <c r="G91" s="223"/>
      <c r="H91" s="82">
        <v>400</v>
      </c>
      <c r="I91" s="228"/>
      <c r="J91" s="104"/>
      <c r="K91" s="83"/>
      <c r="L91" s="39"/>
      <c r="M91" s="4"/>
    </row>
    <row r="92" spans="3:13" ht="16.3" x14ac:dyDescent="0.25">
      <c r="C92" s="110"/>
      <c r="D92" s="104"/>
      <c r="E92" s="223"/>
      <c r="F92" s="105" t="s">
        <v>558</v>
      </c>
      <c r="G92" s="223"/>
      <c r="H92" s="82">
        <v>20</v>
      </c>
      <c r="I92" s="228"/>
      <c r="J92" s="104"/>
      <c r="K92" s="83"/>
      <c r="L92" s="39"/>
      <c r="M92" s="4"/>
    </row>
    <row r="93" spans="3:13" ht="16.3" x14ac:dyDescent="0.25">
      <c r="C93" s="111"/>
      <c r="D93" s="106"/>
      <c r="E93" s="224"/>
      <c r="F93" s="107" t="s">
        <v>147</v>
      </c>
      <c r="G93" s="224"/>
      <c r="H93" s="84">
        <v>400</v>
      </c>
      <c r="I93" s="229"/>
      <c r="J93" s="106"/>
      <c r="K93" s="85"/>
      <c r="L93" s="39"/>
      <c r="M93" s="4"/>
    </row>
    <row r="94" spans="3:13" ht="16.3" x14ac:dyDescent="0.25">
      <c r="C94" s="112" t="s">
        <v>424</v>
      </c>
      <c r="D94" s="102" t="s">
        <v>8</v>
      </c>
      <c r="E94" s="222"/>
      <c r="F94" s="101" t="s">
        <v>425</v>
      </c>
      <c r="G94" s="222"/>
      <c r="H94" s="82" t="s">
        <v>992</v>
      </c>
      <c r="I94" s="227"/>
      <c r="J94" s="102" t="s">
        <v>982</v>
      </c>
      <c r="K94" s="92"/>
      <c r="L94" s="39"/>
      <c r="M94" s="4"/>
    </row>
    <row r="95" spans="3:13" ht="16.3" x14ac:dyDescent="0.25">
      <c r="C95" s="110"/>
      <c r="D95" s="104"/>
      <c r="E95" s="223"/>
      <c r="F95" s="105" t="s">
        <v>426</v>
      </c>
      <c r="G95" s="223"/>
      <c r="H95" s="82" t="s">
        <v>992</v>
      </c>
      <c r="I95" s="228"/>
      <c r="J95" s="104"/>
      <c r="K95" s="83"/>
      <c r="L95" s="39"/>
      <c r="M95" s="4"/>
    </row>
    <row r="96" spans="3:13" ht="16.3" x14ac:dyDescent="0.25">
      <c r="C96" s="110"/>
      <c r="D96" s="104"/>
      <c r="E96" s="223"/>
      <c r="F96" s="105" t="s">
        <v>427</v>
      </c>
      <c r="G96" s="223"/>
      <c r="H96" s="82" t="s">
        <v>992</v>
      </c>
      <c r="I96" s="228"/>
      <c r="J96" s="104"/>
      <c r="K96" s="83"/>
      <c r="L96" s="39"/>
      <c r="M96" s="4"/>
    </row>
    <row r="97" spans="3:13" ht="16.3" x14ac:dyDescent="0.25">
      <c r="C97" s="111"/>
      <c r="D97" s="106"/>
      <c r="E97" s="224"/>
      <c r="F97" s="107" t="s">
        <v>563</v>
      </c>
      <c r="G97" s="224"/>
      <c r="H97" s="82" t="s">
        <v>992</v>
      </c>
      <c r="I97" s="229"/>
      <c r="J97" s="106"/>
      <c r="K97" s="85"/>
      <c r="L97" s="39"/>
      <c r="M97" s="4"/>
    </row>
    <row r="98" spans="3:13" ht="16.3" x14ac:dyDescent="0.25">
      <c r="C98" s="112" t="s">
        <v>428</v>
      </c>
      <c r="D98" s="102" t="s">
        <v>658</v>
      </c>
      <c r="E98" s="222"/>
      <c r="F98" s="101" t="s">
        <v>559</v>
      </c>
      <c r="G98" s="222"/>
      <c r="H98" s="80">
        <v>75</v>
      </c>
      <c r="I98" s="227"/>
      <c r="J98" s="102" t="s">
        <v>982</v>
      </c>
      <c r="K98" s="92"/>
      <c r="L98" s="39"/>
      <c r="M98" s="4"/>
    </row>
    <row r="99" spans="3:13" ht="16.3" x14ac:dyDescent="0.25">
      <c r="C99" s="110"/>
      <c r="D99" s="104"/>
      <c r="E99" s="223"/>
      <c r="F99" s="105" t="s">
        <v>560</v>
      </c>
      <c r="G99" s="223"/>
      <c r="H99" s="82">
        <v>25</v>
      </c>
      <c r="I99" s="228"/>
      <c r="J99" s="104"/>
      <c r="K99" s="83"/>
      <c r="L99" s="39"/>
      <c r="M99" s="4"/>
    </row>
    <row r="100" spans="3:13" ht="16.3" x14ac:dyDescent="0.25">
      <c r="C100" s="111"/>
      <c r="D100" s="106"/>
      <c r="E100" s="224"/>
      <c r="F100" s="107" t="s">
        <v>561</v>
      </c>
      <c r="G100" s="224"/>
      <c r="H100" s="84">
        <v>25</v>
      </c>
      <c r="I100" s="229"/>
      <c r="J100" s="106"/>
      <c r="K100" s="85"/>
      <c r="L100" s="39"/>
      <c r="M100" s="4"/>
    </row>
    <row r="101" spans="3:13" ht="16.3" x14ac:dyDescent="0.25">
      <c r="C101" s="112" t="s">
        <v>430</v>
      </c>
      <c r="D101" s="102" t="s">
        <v>658</v>
      </c>
      <c r="E101" s="222"/>
      <c r="F101" s="101" t="s">
        <v>534</v>
      </c>
      <c r="G101" s="222"/>
      <c r="H101" s="80">
        <v>25</v>
      </c>
      <c r="I101" s="227"/>
      <c r="J101" s="102" t="s">
        <v>982</v>
      </c>
      <c r="K101" s="92"/>
      <c r="L101" s="39"/>
      <c r="M101" s="4"/>
    </row>
    <row r="102" spans="3:13" ht="16.3" x14ac:dyDescent="0.25">
      <c r="C102" s="110"/>
      <c r="D102" s="104"/>
      <c r="E102" s="223"/>
      <c r="F102" s="105" t="s">
        <v>559</v>
      </c>
      <c r="G102" s="223"/>
      <c r="H102" s="82">
        <v>100</v>
      </c>
      <c r="I102" s="228"/>
      <c r="J102" s="104"/>
      <c r="K102" s="83"/>
      <c r="L102" s="39"/>
      <c r="M102" s="4"/>
    </row>
    <row r="103" spans="3:13" ht="16.3" x14ac:dyDescent="0.25">
      <c r="C103" s="111"/>
      <c r="D103" s="106"/>
      <c r="E103" s="224"/>
      <c r="F103" s="107" t="s">
        <v>562</v>
      </c>
      <c r="G103" s="224"/>
      <c r="H103" s="84">
        <v>35</v>
      </c>
      <c r="I103" s="229"/>
      <c r="J103" s="106"/>
      <c r="K103" s="85"/>
      <c r="L103" s="39"/>
      <c r="M103" s="4"/>
    </row>
    <row r="104" spans="3:13" ht="16.3" x14ac:dyDescent="0.25">
      <c r="C104" s="112" t="s">
        <v>431</v>
      </c>
      <c r="D104" s="102" t="s">
        <v>2</v>
      </c>
      <c r="E104" s="222"/>
      <c r="F104" s="101" t="s">
        <v>556</v>
      </c>
      <c r="G104" s="222"/>
      <c r="H104" s="80">
        <v>5</v>
      </c>
      <c r="I104" s="227"/>
      <c r="J104" s="102" t="s">
        <v>998</v>
      </c>
      <c r="K104" s="92"/>
      <c r="L104" s="39"/>
      <c r="M104" s="4"/>
    </row>
    <row r="105" spans="3:13" ht="16.3" x14ac:dyDescent="0.25">
      <c r="C105" s="110"/>
      <c r="D105" s="104"/>
      <c r="E105" s="223"/>
      <c r="F105" s="105" t="s">
        <v>48</v>
      </c>
      <c r="G105" s="223"/>
      <c r="H105" s="82">
        <v>13</v>
      </c>
      <c r="I105" s="228"/>
      <c r="J105" s="104"/>
      <c r="K105" s="83"/>
      <c r="L105" s="39"/>
      <c r="M105" s="4"/>
    </row>
    <row r="106" spans="3:13" ht="16.3" x14ac:dyDescent="0.25">
      <c r="C106" s="111"/>
      <c r="D106" s="106"/>
      <c r="E106" s="224"/>
      <c r="F106" s="107" t="s">
        <v>531</v>
      </c>
      <c r="G106" s="224"/>
      <c r="H106" s="84">
        <v>9</v>
      </c>
      <c r="I106" s="229"/>
      <c r="J106" s="106"/>
      <c r="K106" s="85"/>
      <c r="L106" s="39"/>
      <c r="M106" s="4"/>
    </row>
    <row r="107" spans="3:13" ht="16.3" x14ac:dyDescent="0.25">
      <c r="C107" s="112" t="s">
        <v>433</v>
      </c>
      <c r="D107" s="102" t="s">
        <v>654</v>
      </c>
      <c r="E107" s="222"/>
      <c r="F107" s="101" t="s">
        <v>158</v>
      </c>
      <c r="G107" s="222"/>
      <c r="H107" s="80">
        <v>50</v>
      </c>
      <c r="I107" s="227"/>
      <c r="J107" s="102" t="s">
        <v>982</v>
      </c>
      <c r="K107" s="92"/>
      <c r="L107" s="39"/>
      <c r="M107" s="4"/>
    </row>
    <row r="108" spans="3:13" ht="16.3" x14ac:dyDescent="0.25">
      <c r="C108" s="110"/>
      <c r="D108" s="104"/>
      <c r="E108" s="223"/>
      <c r="F108" s="105" t="s">
        <v>564</v>
      </c>
      <c r="G108" s="223"/>
      <c r="H108" s="82">
        <v>35</v>
      </c>
      <c r="I108" s="228"/>
      <c r="J108" s="104"/>
      <c r="K108" s="83"/>
      <c r="L108" s="39"/>
      <c r="M108" s="4"/>
    </row>
    <row r="109" spans="3:13" ht="16.3" x14ac:dyDescent="0.25">
      <c r="C109" s="111"/>
      <c r="D109" s="106"/>
      <c r="E109" s="224"/>
      <c r="F109" s="107" t="s">
        <v>619</v>
      </c>
      <c r="G109" s="224"/>
      <c r="H109" s="84">
        <v>20</v>
      </c>
      <c r="I109" s="229"/>
      <c r="J109" s="106"/>
      <c r="K109" s="85"/>
      <c r="L109" s="39"/>
      <c r="M109" s="4"/>
    </row>
    <row r="110" spans="3:13" ht="16.3" x14ac:dyDescent="0.25">
      <c r="C110" s="112" t="s">
        <v>434</v>
      </c>
      <c r="D110" s="102" t="s">
        <v>991</v>
      </c>
      <c r="E110" s="222"/>
      <c r="F110" s="101" t="s">
        <v>147</v>
      </c>
      <c r="G110" s="222"/>
      <c r="H110" s="80">
        <v>1</v>
      </c>
      <c r="I110" s="227"/>
      <c r="J110" s="102" t="s">
        <v>982</v>
      </c>
      <c r="K110" s="92"/>
      <c r="L110" s="39"/>
      <c r="M110" s="4"/>
    </row>
    <row r="111" spans="3:13" ht="16.3" x14ac:dyDescent="0.25">
      <c r="C111" s="110"/>
      <c r="D111" s="104"/>
      <c r="E111" s="223"/>
      <c r="F111" s="105" t="s">
        <v>87</v>
      </c>
      <c r="G111" s="223"/>
      <c r="H111" s="82">
        <v>2000</v>
      </c>
      <c r="I111" s="228"/>
      <c r="J111" s="104"/>
      <c r="K111" s="83"/>
      <c r="L111" s="39"/>
      <c r="M111" s="4"/>
    </row>
    <row r="112" spans="3:13" ht="16.3" x14ac:dyDescent="0.25">
      <c r="C112" s="111"/>
      <c r="D112" s="106"/>
      <c r="E112" s="224"/>
      <c r="F112" s="107" t="s">
        <v>147</v>
      </c>
      <c r="G112" s="224"/>
      <c r="H112" s="84">
        <v>1</v>
      </c>
      <c r="I112" s="229"/>
      <c r="J112" s="106"/>
      <c r="K112" s="85"/>
      <c r="L112" s="39"/>
      <c r="M112" s="4"/>
    </row>
    <row r="113" spans="3:13" ht="16.3" x14ac:dyDescent="0.25">
      <c r="C113" s="112" t="s">
        <v>436</v>
      </c>
      <c r="D113" s="102" t="s">
        <v>991</v>
      </c>
      <c r="E113" s="222"/>
      <c r="F113" s="101" t="s">
        <v>541</v>
      </c>
      <c r="G113" s="222"/>
      <c r="H113" s="80">
        <v>10</v>
      </c>
      <c r="I113" s="227"/>
      <c r="J113" s="102" t="s">
        <v>982</v>
      </c>
      <c r="K113" s="92"/>
      <c r="L113" s="39"/>
      <c r="M113" s="4"/>
    </row>
    <row r="114" spans="3:13" ht="16.3" x14ac:dyDescent="0.25">
      <c r="C114" s="110"/>
      <c r="D114" s="104"/>
      <c r="E114" s="223"/>
      <c r="F114" s="105" t="s">
        <v>556</v>
      </c>
      <c r="G114" s="223"/>
      <c r="H114" s="82">
        <v>15</v>
      </c>
      <c r="I114" s="228"/>
      <c r="J114" s="104"/>
      <c r="K114" s="83"/>
      <c r="L114" s="39"/>
      <c r="M114" s="4"/>
    </row>
    <row r="115" spans="3:13" ht="16.3" x14ac:dyDescent="0.25">
      <c r="C115" s="110"/>
      <c r="D115" s="104"/>
      <c r="E115" s="223"/>
      <c r="F115" s="105" t="s">
        <v>531</v>
      </c>
      <c r="G115" s="223"/>
      <c r="H115" s="82">
        <v>25</v>
      </c>
      <c r="I115" s="228"/>
      <c r="J115" s="104"/>
      <c r="K115" s="83"/>
      <c r="L115" s="39"/>
      <c r="M115" s="4"/>
    </row>
    <row r="116" spans="3:13" ht="16.3" x14ac:dyDescent="0.25">
      <c r="C116" s="110"/>
      <c r="D116" s="104"/>
      <c r="E116" s="223"/>
      <c r="F116" s="105" t="s">
        <v>39</v>
      </c>
      <c r="G116" s="223"/>
      <c r="H116" s="82">
        <v>50</v>
      </c>
      <c r="I116" s="228"/>
      <c r="J116" s="104"/>
      <c r="K116" s="83"/>
      <c r="L116" s="39"/>
      <c r="M116" s="4"/>
    </row>
    <row r="117" spans="3:13" ht="16.3" x14ac:dyDescent="0.25">
      <c r="C117" s="110"/>
      <c r="D117" s="104"/>
      <c r="E117" s="223"/>
      <c r="F117" s="105" t="s">
        <v>157</v>
      </c>
      <c r="G117" s="223"/>
      <c r="H117" s="82">
        <v>100</v>
      </c>
      <c r="I117" s="228"/>
      <c r="J117" s="104"/>
      <c r="K117" s="83"/>
      <c r="L117" s="39"/>
      <c r="M117" s="4"/>
    </row>
    <row r="118" spans="3:13" ht="16.3" x14ac:dyDescent="0.25">
      <c r="C118" s="110"/>
      <c r="D118" s="104"/>
      <c r="E118" s="223"/>
      <c r="F118" s="105" t="s">
        <v>158</v>
      </c>
      <c r="G118" s="223"/>
      <c r="H118" s="82">
        <v>200</v>
      </c>
      <c r="I118" s="228"/>
      <c r="J118" s="104"/>
      <c r="K118" s="83"/>
      <c r="L118" s="39"/>
      <c r="M118" s="4"/>
    </row>
    <row r="119" spans="3:13" ht="16.3" x14ac:dyDescent="0.25">
      <c r="C119" s="111"/>
      <c r="D119" s="106"/>
      <c r="E119" s="224"/>
      <c r="F119" s="107" t="s">
        <v>621</v>
      </c>
      <c r="G119" s="224"/>
      <c r="H119" s="84">
        <v>400</v>
      </c>
      <c r="I119" s="229"/>
      <c r="J119" s="106"/>
      <c r="K119" s="85"/>
      <c r="L119" s="39"/>
      <c r="M119" s="4"/>
    </row>
    <row r="120" spans="3:13" ht="16.3" x14ac:dyDescent="0.25">
      <c r="C120" s="112" t="s">
        <v>437</v>
      </c>
      <c r="D120" s="102" t="s">
        <v>991</v>
      </c>
      <c r="E120" s="222"/>
      <c r="F120" s="101" t="s">
        <v>993</v>
      </c>
      <c r="G120" s="222"/>
      <c r="H120" s="80">
        <v>21</v>
      </c>
      <c r="I120" s="227"/>
      <c r="J120" s="102" t="s">
        <v>982</v>
      </c>
      <c r="K120" s="92"/>
      <c r="L120" s="39"/>
      <c r="M120" s="4"/>
    </row>
    <row r="121" spans="3:13" ht="16.3" x14ac:dyDescent="0.25">
      <c r="C121" s="110"/>
      <c r="D121" s="104"/>
      <c r="E121" s="223"/>
      <c r="F121" s="105" t="s">
        <v>542</v>
      </c>
      <c r="G121" s="223"/>
      <c r="H121" s="82">
        <v>50</v>
      </c>
      <c r="I121" s="228"/>
      <c r="J121" s="104"/>
      <c r="K121" s="83"/>
      <c r="L121" s="39"/>
      <c r="M121" s="4"/>
    </row>
    <row r="122" spans="3:13" ht="16.3" x14ac:dyDescent="0.25">
      <c r="C122" s="110"/>
      <c r="D122" s="104"/>
      <c r="E122" s="223"/>
      <c r="F122" s="105" t="s">
        <v>994</v>
      </c>
      <c r="G122" s="223"/>
      <c r="H122" s="82">
        <v>21</v>
      </c>
      <c r="I122" s="228"/>
      <c r="J122" s="104"/>
      <c r="K122" s="83"/>
      <c r="L122" s="39"/>
      <c r="M122" s="4"/>
    </row>
    <row r="123" spans="3:13" ht="16.3" x14ac:dyDescent="0.25">
      <c r="C123" s="110"/>
      <c r="D123" s="104"/>
      <c r="E123" s="223"/>
      <c r="F123" s="105" t="s">
        <v>542</v>
      </c>
      <c r="G123" s="223"/>
      <c r="H123" s="82">
        <v>50</v>
      </c>
      <c r="I123" s="228"/>
      <c r="J123" s="104"/>
      <c r="K123" s="83"/>
      <c r="L123" s="39"/>
      <c r="M123" s="4"/>
    </row>
    <row r="124" spans="3:13" ht="16.3" x14ac:dyDescent="0.25">
      <c r="C124" s="110"/>
      <c r="D124" s="104"/>
      <c r="E124" s="223"/>
      <c r="F124" s="105" t="s">
        <v>995</v>
      </c>
      <c r="G124" s="223"/>
      <c r="H124" s="82">
        <v>21</v>
      </c>
      <c r="I124" s="228"/>
      <c r="J124" s="104"/>
      <c r="K124" s="83"/>
      <c r="L124" s="39"/>
      <c r="M124" s="4"/>
    </row>
    <row r="125" spans="3:13" ht="16.3" x14ac:dyDescent="0.25">
      <c r="C125" s="110"/>
      <c r="D125" s="104"/>
      <c r="E125" s="223"/>
      <c r="F125" s="105" t="s">
        <v>542</v>
      </c>
      <c r="G125" s="223"/>
      <c r="H125" s="82">
        <v>50</v>
      </c>
      <c r="I125" s="228"/>
      <c r="J125" s="104"/>
      <c r="K125" s="83"/>
      <c r="L125" s="39"/>
      <c r="M125" s="4"/>
    </row>
    <row r="126" spans="3:13" ht="16.3" x14ac:dyDescent="0.25">
      <c r="C126" s="111"/>
      <c r="D126" s="106"/>
      <c r="E126" s="224"/>
      <c r="F126" s="107" t="s">
        <v>996</v>
      </c>
      <c r="G126" s="224"/>
      <c r="H126" s="84">
        <v>21</v>
      </c>
      <c r="I126" s="229"/>
      <c r="J126" s="106"/>
      <c r="K126" s="85"/>
      <c r="L126" s="39"/>
      <c r="M126" s="4"/>
    </row>
    <row r="127" spans="3:13" ht="16.3" x14ac:dyDescent="0.25">
      <c r="C127" s="112" t="s">
        <v>438</v>
      </c>
      <c r="D127" s="102" t="s">
        <v>997</v>
      </c>
      <c r="E127" s="222"/>
      <c r="F127" s="101" t="s">
        <v>541</v>
      </c>
      <c r="G127" s="222"/>
      <c r="H127" s="80">
        <v>7</v>
      </c>
      <c r="I127" s="227"/>
      <c r="J127" s="102" t="s">
        <v>982</v>
      </c>
      <c r="K127" s="92"/>
      <c r="L127" s="39"/>
      <c r="M127" s="4"/>
    </row>
    <row r="128" spans="3:13" ht="16.3" x14ac:dyDescent="0.25">
      <c r="C128" s="110"/>
      <c r="D128" s="104"/>
      <c r="E128" s="223"/>
      <c r="F128" s="105" t="s">
        <v>285</v>
      </c>
      <c r="G128" s="223"/>
      <c r="H128" s="82">
        <v>7</v>
      </c>
      <c r="I128" s="228"/>
      <c r="J128" s="104"/>
      <c r="K128" s="83"/>
      <c r="L128" s="39"/>
      <c r="M128" s="4"/>
    </row>
    <row r="129" spans="3:13" ht="16.3" x14ac:dyDescent="0.25">
      <c r="C129" s="110"/>
      <c r="D129" s="104"/>
      <c r="E129" s="223"/>
      <c r="F129" s="105" t="s">
        <v>566</v>
      </c>
      <c r="G129" s="223"/>
      <c r="H129" s="82">
        <v>7</v>
      </c>
      <c r="I129" s="228"/>
      <c r="J129" s="104"/>
      <c r="K129" s="83"/>
      <c r="L129" s="39"/>
      <c r="M129" s="4"/>
    </row>
    <row r="130" spans="3:13" ht="16.3" x14ac:dyDescent="0.25">
      <c r="C130" s="110"/>
      <c r="D130" s="104"/>
      <c r="E130" s="223"/>
      <c r="F130" s="105" t="s">
        <v>556</v>
      </c>
      <c r="G130" s="223"/>
      <c r="H130" s="82">
        <v>7</v>
      </c>
      <c r="I130" s="228"/>
      <c r="J130" s="104"/>
      <c r="K130" s="83"/>
      <c r="L130" s="39"/>
      <c r="M130" s="4"/>
    </row>
    <row r="131" spans="3:13" ht="16.3" x14ac:dyDescent="0.25">
      <c r="C131" s="110"/>
      <c r="D131" s="104"/>
      <c r="E131" s="223"/>
      <c r="F131" s="105" t="s">
        <v>146</v>
      </c>
      <c r="G131" s="223"/>
      <c r="H131" s="82">
        <v>7</v>
      </c>
      <c r="I131" s="228"/>
      <c r="J131" s="104"/>
      <c r="K131" s="83"/>
      <c r="L131" s="39"/>
      <c r="M131" s="4"/>
    </row>
    <row r="132" spans="3:13" ht="16.3" x14ac:dyDescent="0.25">
      <c r="C132" s="110"/>
      <c r="D132" s="104"/>
      <c r="E132" s="223"/>
      <c r="F132" s="105" t="s">
        <v>542</v>
      </c>
      <c r="G132" s="223"/>
      <c r="H132" s="82">
        <v>7</v>
      </c>
      <c r="I132" s="228"/>
      <c r="J132" s="104"/>
      <c r="K132" s="83"/>
      <c r="L132" s="39"/>
      <c r="M132" s="4"/>
    </row>
    <row r="133" spans="3:13" ht="16.3" x14ac:dyDescent="0.25">
      <c r="C133" s="111"/>
      <c r="D133" s="106"/>
      <c r="E133" s="224"/>
      <c r="F133" s="107" t="s">
        <v>39</v>
      </c>
      <c r="G133" s="224"/>
      <c r="H133" s="84">
        <v>7</v>
      </c>
      <c r="I133" s="229"/>
      <c r="J133" s="106"/>
      <c r="K133" s="85"/>
      <c r="L133" s="39"/>
      <c r="M133" s="4"/>
    </row>
    <row r="134" spans="3:13" ht="16.3" x14ac:dyDescent="0.25">
      <c r="C134" s="112" t="s">
        <v>440</v>
      </c>
      <c r="D134" s="102" t="s">
        <v>654</v>
      </c>
      <c r="E134" s="222"/>
      <c r="F134" s="101" t="s">
        <v>147</v>
      </c>
      <c r="G134" s="222"/>
      <c r="H134" s="80">
        <v>800</v>
      </c>
      <c r="I134" s="227"/>
      <c r="J134" s="102" t="s">
        <v>982</v>
      </c>
      <c r="K134" s="92"/>
      <c r="L134" s="39"/>
      <c r="M134" s="4"/>
    </row>
    <row r="135" spans="3:13" ht="16.3" x14ac:dyDescent="0.25">
      <c r="C135" s="110"/>
      <c r="D135" s="104"/>
      <c r="E135" s="223"/>
      <c r="F135" s="105" t="s">
        <v>567</v>
      </c>
      <c r="G135" s="223"/>
      <c r="H135" s="82">
        <v>5</v>
      </c>
      <c r="I135" s="228"/>
      <c r="J135" s="104"/>
      <c r="K135" s="83"/>
      <c r="L135" s="39"/>
      <c r="M135" s="4"/>
    </row>
    <row r="136" spans="3:13" ht="16.3" x14ac:dyDescent="0.25">
      <c r="C136" s="111"/>
      <c r="D136" s="106"/>
      <c r="E136" s="224"/>
      <c r="F136" s="107" t="s">
        <v>48</v>
      </c>
      <c r="G136" s="224"/>
      <c r="H136" s="84">
        <v>50</v>
      </c>
      <c r="I136" s="229"/>
      <c r="J136" s="106"/>
      <c r="K136" s="85"/>
      <c r="L136" s="39"/>
      <c r="M136" s="4"/>
    </row>
    <row r="137" spans="3:13" ht="16.3" x14ac:dyDescent="0.25">
      <c r="C137" s="112" t="s">
        <v>441</v>
      </c>
      <c r="D137" s="102" t="s">
        <v>658</v>
      </c>
      <c r="E137" s="222"/>
      <c r="F137" s="101" t="s">
        <v>147</v>
      </c>
      <c r="G137" s="222"/>
      <c r="H137" s="80">
        <v>1000</v>
      </c>
      <c r="I137" s="227"/>
      <c r="J137" s="102" t="s">
        <v>982</v>
      </c>
      <c r="K137" s="92"/>
      <c r="L137" s="39"/>
      <c r="M137" s="4"/>
    </row>
    <row r="138" spans="3:13" ht="16.3" x14ac:dyDescent="0.25">
      <c r="C138" s="110"/>
      <c r="D138" s="104"/>
      <c r="E138" s="223"/>
      <c r="F138" s="105" t="s">
        <v>537</v>
      </c>
      <c r="G138" s="223"/>
      <c r="H138" s="82">
        <v>10</v>
      </c>
      <c r="I138" s="228"/>
      <c r="J138" s="104"/>
      <c r="K138" s="83"/>
      <c r="L138" s="39"/>
      <c r="M138" s="4"/>
    </row>
    <row r="139" spans="3:13" ht="16.3" x14ac:dyDescent="0.25">
      <c r="C139" s="111"/>
      <c r="D139" s="106"/>
      <c r="E139" s="224"/>
      <c r="F139" s="107" t="s">
        <v>559</v>
      </c>
      <c r="G139" s="224"/>
      <c r="H139" s="84">
        <v>100</v>
      </c>
      <c r="I139" s="229"/>
      <c r="J139" s="106"/>
      <c r="K139" s="85"/>
      <c r="L139" s="39"/>
      <c r="M139" s="4"/>
    </row>
    <row r="140" spans="3:13" ht="16.3" x14ac:dyDescent="0.25">
      <c r="C140" s="112" t="s">
        <v>442</v>
      </c>
      <c r="D140" s="102" t="s">
        <v>2</v>
      </c>
      <c r="E140" s="222"/>
      <c r="F140" s="101" t="s">
        <v>556</v>
      </c>
      <c r="G140" s="222"/>
      <c r="H140" s="80">
        <v>9</v>
      </c>
      <c r="I140" s="227"/>
      <c r="J140" s="102" t="s">
        <v>989</v>
      </c>
      <c r="K140" s="92"/>
      <c r="L140" s="39"/>
      <c r="M140" s="4"/>
    </row>
    <row r="141" spans="3:13" ht="16.3" x14ac:dyDescent="0.25">
      <c r="C141" s="110"/>
      <c r="D141" s="104"/>
      <c r="E141" s="223"/>
      <c r="F141" s="105" t="s">
        <v>568</v>
      </c>
      <c r="G141" s="223"/>
      <c r="H141" s="82">
        <v>8</v>
      </c>
      <c r="I141" s="228"/>
      <c r="J141" s="104"/>
      <c r="K141" s="83"/>
      <c r="L141" s="39"/>
      <c r="M141" s="4"/>
    </row>
    <row r="142" spans="3:13" ht="16.3" x14ac:dyDescent="0.25">
      <c r="C142" s="111"/>
      <c r="D142" s="106"/>
      <c r="E142" s="224"/>
      <c r="F142" s="107" t="s">
        <v>136</v>
      </c>
      <c r="G142" s="224"/>
      <c r="H142" s="84">
        <v>9</v>
      </c>
      <c r="I142" s="229"/>
      <c r="J142" s="106"/>
      <c r="K142" s="85"/>
      <c r="L142" s="39"/>
      <c r="M142" s="4"/>
    </row>
    <row r="143" spans="3:13" ht="16.3" x14ac:dyDescent="0.25">
      <c r="C143" s="112" t="s">
        <v>443</v>
      </c>
      <c r="D143" s="102" t="s">
        <v>999</v>
      </c>
      <c r="E143" s="222"/>
      <c r="F143" s="101" t="s">
        <v>569</v>
      </c>
      <c r="G143" s="222"/>
      <c r="H143" s="80">
        <v>15</v>
      </c>
      <c r="I143" s="227"/>
      <c r="J143" s="102" t="s">
        <v>982</v>
      </c>
      <c r="K143" s="92"/>
      <c r="L143" s="39"/>
      <c r="M143" s="4"/>
    </row>
    <row r="144" spans="3:13" ht="16.3" x14ac:dyDescent="0.25">
      <c r="C144" s="110"/>
      <c r="D144" s="104"/>
      <c r="E144" s="223"/>
      <c r="F144" s="105" t="s">
        <v>548</v>
      </c>
      <c r="G144" s="223"/>
      <c r="H144" s="82">
        <v>20</v>
      </c>
      <c r="I144" s="228"/>
      <c r="J144" s="104"/>
      <c r="K144" s="83"/>
      <c r="L144" s="39"/>
      <c r="M144" s="4"/>
    </row>
    <row r="145" spans="3:13" ht="16.3" x14ac:dyDescent="0.25">
      <c r="C145" s="111"/>
      <c r="D145" s="106"/>
      <c r="E145" s="224"/>
      <c r="F145" s="107" t="s">
        <v>39</v>
      </c>
      <c r="G145" s="224"/>
      <c r="H145" s="84">
        <v>25</v>
      </c>
      <c r="I145" s="229"/>
      <c r="J145" s="106"/>
      <c r="K145" s="85"/>
      <c r="L145" s="39"/>
      <c r="M145" s="4"/>
    </row>
    <row r="146" spans="3:13" ht="16.3" x14ac:dyDescent="0.25">
      <c r="C146" s="112" t="s">
        <v>444</v>
      </c>
      <c r="D146" s="102" t="s">
        <v>1000</v>
      </c>
      <c r="E146" s="222"/>
      <c r="F146" s="101" t="s">
        <v>570</v>
      </c>
      <c r="G146" s="222"/>
      <c r="H146" s="80">
        <v>24</v>
      </c>
      <c r="I146" s="227"/>
      <c r="J146" s="102" t="s">
        <v>982</v>
      </c>
      <c r="K146" s="92"/>
      <c r="L146" s="39"/>
      <c r="M146" s="4"/>
    </row>
    <row r="147" spans="3:13" ht="16.3" x14ac:dyDescent="0.25">
      <c r="C147" s="110"/>
      <c r="D147" s="104"/>
      <c r="E147" s="223"/>
      <c r="F147" s="105" t="s">
        <v>548</v>
      </c>
      <c r="G147" s="223"/>
      <c r="H147" s="82">
        <v>24</v>
      </c>
      <c r="I147" s="228"/>
      <c r="J147" s="104"/>
      <c r="K147" s="83"/>
      <c r="L147" s="39"/>
      <c r="M147" s="4"/>
    </row>
    <row r="148" spans="3:13" ht="16.3" x14ac:dyDescent="0.25">
      <c r="C148" s="110"/>
      <c r="D148" s="104"/>
      <c r="E148" s="223"/>
      <c r="F148" s="105" t="s">
        <v>565</v>
      </c>
      <c r="G148" s="223"/>
      <c r="H148" s="82">
        <v>24</v>
      </c>
      <c r="I148" s="228"/>
      <c r="J148" s="104"/>
      <c r="K148" s="83"/>
      <c r="L148" s="39"/>
      <c r="M148" s="4"/>
    </row>
    <row r="149" spans="3:13" ht="16.3" x14ac:dyDescent="0.25">
      <c r="C149" s="110"/>
      <c r="D149" s="104"/>
      <c r="E149" s="223"/>
      <c r="F149" s="105" t="s">
        <v>571</v>
      </c>
      <c r="G149" s="223"/>
      <c r="H149" s="82">
        <v>24</v>
      </c>
      <c r="I149" s="228"/>
      <c r="J149" s="104"/>
      <c r="K149" s="83"/>
      <c r="L149" s="39"/>
      <c r="M149" s="4"/>
    </row>
    <row r="150" spans="3:13" ht="16.3" x14ac:dyDescent="0.25">
      <c r="C150" s="110"/>
      <c r="D150" s="104"/>
      <c r="E150" s="223"/>
      <c r="F150" s="105" t="s">
        <v>548</v>
      </c>
      <c r="G150" s="223"/>
      <c r="H150" s="82">
        <v>24</v>
      </c>
      <c r="I150" s="228"/>
      <c r="J150" s="104"/>
      <c r="K150" s="83"/>
      <c r="L150" s="39"/>
      <c r="M150" s="4"/>
    </row>
    <row r="151" spans="3:13" ht="16.3" x14ac:dyDescent="0.25">
      <c r="C151" s="110"/>
      <c r="D151" s="104"/>
      <c r="E151" s="223"/>
      <c r="F151" s="105" t="s">
        <v>565</v>
      </c>
      <c r="G151" s="223"/>
      <c r="H151" s="82">
        <v>24</v>
      </c>
      <c r="I151" s="228"/>
      <c r="J151" s="104"/>
      <c r="K151" s="83"/>
      <c r="L151" s="39"/>
      <c r="M151" s="4"/>
    </row>
    <row r="152" spans="3:13" ht="16.3" x14ac:dyDescent="0.25">
      <c r="C152" s="111"/>
      <c r="D152" s="106"/>
      <c r="E152" s="224"/>
      <c r="F152" s="107" t="s">
        <v>572</v>
      </c>
      <c r="G152" s="224"/>
      <c r="H152" s="84">
        <v>24</v>
      </c>
      <c r="I152" s="229"/>
      <c r="J152" s="106"/>
      <c r="K152" s="85"/>
      <c r="L152" s="39"/>
      <c r="M152" s="4"/>
    </row>
    <row r="153" spans="3:13" ht="16.3" x14ac:dyDescent="0.25">
      <c r="C153" s="112" t="s">
        <v>445</v>
      </c>
      <c r="D153" s="102" t="s">
        <v>655</v>
      </c>
      <c r="E153" s="222"/>
      <c r="F153" s="101" t="s">
        <v>573</v>
      </c>
      <c r="G153" s="222"/>
      <c r="H153" s="80">
        <v>10</v>
      </c>
      <c r="I153" s="227"/>
      <c r="J153" s="102" t="s">
        <v>982</v>
      </c>
      <c r="K153" s="92"/>
      <c r="L153" s="39"/>
      <c r="M153" s="4"/>
    </row>
    <row r="154" spans="3:13" ht="16.3" x14ac:dyDescent="0.25">
      <c r="C154" s="111"/>
      <c r="D154" s="106"/>
      <c r="E154" s="224"/>
      <c r="F154" s="107" t="s">
        <v>574</v>
      </c>
      <c r="G154" s="224"/>
      <c r="H154" s="84">
        <v>10</v>
      </c>
      <c r="I154" s="229"/>
      <c r="J154" s="106"/>
      <c r="K154" s="85"/>
      <c r="L154" s="39"/>
      <c r="M154" s="4"/>
    </row>
    <row r="155" spans="3:13" ht="16.3" x14ac:dyDescent="0.25">
      <c r="C155" s="112" t="s">
        <v>446</v>
      </c>
      <c r="D155" s="102" t="s">
        <v>983</v>
      </c>
      <c r="E155" s="222"/>
      <c r="F155" s="101" t="s">
        <v>575</v>
      </c>
      <c r="G155" s="222"/>
      <c r="H155" s="80">
        <v>50</v>
      </c>
      <c r="I155" s="227"/>
      <c r="J155" s="102" t="s">
        <v>982</v>
      </c>
      <c r="K155" s="92"/>
      <c r="L155" s="39"/>
      <c r="M155" s="4"/>
    </row>
    <row r="156" spans="3:13" ht="16.3" x14ac:dyDescent="0.25">
      <c r="C156" s="110"/>
      <c r="D156" s="104"/>
      <c r="E156" s="223"/>
      <c r="F156" s="105" t="s">
        <v>576</v>
      </c>
      <c r="G156" s="223"/>
      <c r="H156" s="82">
        <v>100</v>
      </c>
      <c r="I156" s="228"/>
      <c r="J156" s="104"/>
      <c r="K156" s="83"/>
      <c r="L156" s="39"/>
      <c r="M156" s="4"/>
    </row>
    <row r="157" spans="3:13" ht="16.3" x14ac:dyDescent="0.25">
      <c r="C157" s="111"/>
      <c r="D157" s="106"/>
      <c r="E157" s="224"/>
      <c r="F157" s="107" t="s">
        <v>147</v>
      </c>
      <c r="G157" s="224"/>
      <c r="H157" s="84">
        <v>5000</v>
      </c>
      <c r="I157" s="229"/>
      <c r="J157" s="106"/>
      <c r="K157" s="85"/>
      <c r="L157" s="39"/>
      <c r="M157" s="4"/>
    </row>
    <row r="158" spans="3:13" ht="16.3" x14ac:dyDescent="0.25">
      <c r="C158" s="112" t="s">
        <v>447</v>
      </c>
      <c r="D158" s="102" t="s">
        <v>658</v>
      </c>
      <c r="E158" s="222"/>
      <c r="F158" s="101" t="s">
        <v>147</v>
      </c>
      <c r="G158" s="222"/>
      <c r="H158" s="80">
        <v>800</v>
      </c>
      <c r="I158" s="227"/>
      <c r="J158" s="102"/>
      <c r="K158" s="92"/>
      <c r="L158" s="39"/>
      <c r="M158" s="4"/>
    </row>
    <row r="159" spans="3:13" ht="16.3" x14ac:dyDescent="0.25">
      <c r="C159" s="110"/>
      <c r="D159" s="104"/>
      <c r="E159" s="223"/>
      <c r="F159" s="105" t="s">
        <v>577</v>
      </c>
      <c r="G159" s="223"/>
      <c r="H159" s="82">
        <v>30</v>
      </c>
      <c r="I159" s="228"/>
      <c r="J159" s="104"/>
      <c r="K159" s="83"/>
      <c r="L159" s="39"/>
      <c r="M159" s="4"/>
    </row>
    <row r="160" spans="3:13" ht="16.3" x14ac:dyDescent="0.25">
      <c r="C160" s="111"/>
      <c r="D160" s="106"/>
      <c r="E160" s="224"/>
      <c r="F160" s="107" t="s">
        <v>146</v>
      </c>
      <c r="G160" s="224"/>
      <c r="H160" s="84">
        <v>30</v>
      </c>
      <c r="I160" s="229"/>
      <c r="J160" s="106"/>
      <c r="K160" s="85"/>
      <c r="L160" s="39"/>
      <c r="M160" s="4"/>
    </row>
    <row r="161" spans="3:13" ht="16.3" x14ac:dyDescent="0.25">
      <c r="C161" s="112" t="s">
        <v>448</v>
      </c>
      <c r="D161" s="102" t="s">
        <v>2</v>
      </c>
      <c r="E161" s="222"/>
      <c r="F161" s="101" t="s">
        <v>135</v>
      </c>
      <c r="G161" s="222"/>
      <c r="H161" s="80">
        <v>10</v>
      </c>
      <c r="I161" s="227"/>
      <c r="J161" s="102" t="s">
        <v>989</v>
      </c>
      <c r="K161" s="92"/>
      <c r="L161" s="39"/>
      <c r="M161" s="4"/>
    </row>
    <row r="162" spans="3:13" ht="16.3" x14ac:dyDescent="0.25">
      <c r="C162" s="110"/>
      <c r="D162" s="104"/>
      <c r="E162" s="223"/>
      <c r="F162" s="105" t="s">
        <v>542</v>
      </c>
      <c r="G162" s="223"/>
      <c r="H162" s="82">
        <v>10</v>
      </c>
      <c r="I162" s="228"/>
      <c r="J162" s="104"/>
      <c r="K162" s="83"/>
      <c r="L162" s="39"/>
      <c r="M162" s="4"/>
    </row>
    <row r="163" spans="3:13" ht="16.3" x14ac:dyDescent="0.25">
      <c r="C163" s="111"/>
      <c r="D163" s="106"/>
      <c r="E163" s="224"/>
      <c r="F163" s="107" t="s">
        <v>531</v>
      </c>
      <c r="G163" s="224"/>
      <c r="H163" s="84">
        <v>10</v>
      </c>
      <c r="I163" s="229"/>
      <c r="J163" s="106"/>
      <c r="K163" s="85"/>
      <c r="L163" s="39"/>
      <c r="M163" s="4"/>
    </row>
    <row r="164" spans="3:13" ht="16.3" x14ac:dyDescent="0.25">
      <c r="C164" s="112" t="s">
        <v>449</v>
      </c>
      <c r="D164" s="102" t="s">
        <v>658</v>
      </c>
      <c r="E164" s="222"/>
      <c r="F164" s="101" t="s">
        <v>561</v>
      </c>
      <c r="G164" s="222"/>
      <c r="H164" s="80">
        <v>20</v>
      </c>
      <c r="I164" s="227"/>
      <c r="J164" s="102" t="s">
        <v>982</v>
      </c>
      <c r="K164" s="92"/>
      <c r="L164" s="39"/>
      <c r="M164" s="4"/>
    </row>
    <row r="165" spans="3:13" ht="16.3" x14ac:dyDescent="0.25">
      <c r="C165" s="110"/>
      <c r="D165" s="104"/>
      <c r="E165" s="223"/>
      <c r="F165" s="105" t="s">
        <v>578</v>
      </c>
      <c r="G165" s="223"/>
      <c r="H165" s="82">
        <v>30</v>
      </c>
      <c r="I165" s="228"/>
      <c r="J165" s="104"/>
      <c r="K165" s="83"/>
      <c r="L165" s="39"/>
      <c r="M165" s="4"/>
    </row>
    <row r="166" spans="3:13" ht="16.3" x14ac:dyDescent="0.25">
      <c r="C166" s="110"/>
      <c r="D166" s="104"/>
      <c r="E166" s="223"/>
      <c r="F166" s="105" t="s">
        <v>146</v>
      </c>
      <c r="G166" s="223"/>
      <c r="H166" s="82">
        <v>40</v>
      </c>
      <c r="I166" s="228"/>
      <c r="J166" s="104"/>
      <c r="K166" s="83"/>
      <c r="L166" s="39"/>
      <c r="M166" s="4"/>
    </row>
    <row r="167" spans="3:13" ht="16.3" x14ac:dyDescent="0.25">
      <c r="C167" s="111"/>
      <c r="D167" s="106"/>
      <c r="E167" s="224"/>
      <c r="F167" s="107" t="s">
        <v>147</v>
      </c>
      <c r="G167" s="224"/>
      <c r="H167" s="84">
        <v>800</v>
      </c>
      <c r="I167" s="229"/>
      <c r="J167" s="106"/>
      <c r="K167" s="85"/>
      <c r="L167" s="39"/>
      <c r="M167" s="4"/>
    </row>
    <row r="168" spans="3:13" ht="16.3" x14ac:dyDescent="0.25">
      <c r="C168" s="112" t="s">
        <v>450</v>
      </c>
      <c r="D168" s="102" t="s">
        <v>655</v>
      </c>
      <c r="E168" s="222"/>
      <c r="F168" s="101" t="s">
        <v>147</v>
      </c>
      <c r="G168" s="222"/>
      <c r="H168" s="80">
        <v>150</v>
      </c>
      <c r="I168" s="227"/>
      <c r="J168" s="102" t="s">
        <v>982</v>
      </c>
      <c r="K168" s="92"/>
      <c r="L168" s="39"/>
      <c r="M168" s="4"/>
    </row>
    <row r="169" spans="3:13" ht="16.3" x14ac:dyDescent="0.25">
      <c r="C169" s="110"/>
      <c r="D169" s="104"/>
      <c r="E169" s="223"/>
      <c r="F169" s="105" t="s">
        <v>627</v>
      </c>
      <c r="G169" s="223"/>
      <c r="H169" s="82">
        <v>7</v>
      </c>
      <c r="I169" s="228"/>
      <c r="J169" s="104"/>
      <c r="K169" s="83"/>
      <c r="L169" s="39"/>
      <c r="M169" s="4"/>
    </row>
    <row r="170" spans="3:13" ht="16.3" x14ac:dyDescent="0.25">
      <c r="C170" s="110"/>
      <c r="D170" s="104"/>
      <c r="E170" s="223"/>
      <c r="F170" s="105" t="s">
        <v>591</v>
      </c>
      <c r="G170" s="223"/>
      <c r="H170" s="82">
        <v>7</v>
      </c>
      <c r="I170" s="228"/>
      <c r="J170" s="104"/>
      <c r="K170" s="83"/>
      <c r="L170" s="39"/>
      <c r="M170" s="4"/>
    </row>
    <row r="171" spans="3:13" ht="16.3" x14ac:dyDescent="0.25">
      <c r="C171" s="111"/>
      <c r="D171" s="106"/>
      <c r="E171" s="224"/>
      <c r="F171" s="107" t="s">
        <v>541</v>
      </c>
      <c r="G171" s="224"/>
      <c r="H171" s="84">
        <v>7</v>
      </c>
      <c r="I171" s="229"/>
      <c r="J171" s="106"/>
      <c r="K171" s="85"/>
      <c r="L171" s="39"/>
      <c r="M171" s="4"/>
    </row>
    <row r="172" spans="3:13" ht="16.3" x14ac:dyDescent="0.25">
      <c r="C172" s="112" t="s">
        <v>451</v>
      </c>
      <c r="D172" s="102" t="s">
        <v>654</v>
      </c>
      <c r="E172" s="222"/>
      <c r="F172" s="101" t="s">
        <v>452</v>
      </c>
      <c r="G172" s="222"/>
      <c r="H172" s="80">
        <v>100</v>
      </c>
      <c r="I172" s="227"/>
      <c r="J172" s="102" t="s">
        <v>982</v>
      </c>
      <c r="K172" s="92"/>
      <c r="L172" s="39"/>
      <c r="M172" s="4"/>
    </row>
    <row r="173" spans="3:13" ht="16.3" x14ac:dyDescent="0.25">
      <c r="C173" s="110"/>
      <c r="D173" s="104"/>
      <c r="E173" s="223"/>
      <c r="F173" s="105" t="s">
        <v>453</v>
      </c>
      <c r="G173" s="223"/>
      <c r="H173" s="82">
        <v>100</v>
      </c>
      <c r="I173" s="228"/>
      <c r="J173" s="104"/>
      <c r="K173" s="83"/>
      <c r="L173" s="39"/>
      <c r="M173" s="4"/>
    </row>
    <row r="174" spans="3:13" ht="16.3" x14ac:dyDescent="0.25">
      <c r="C174" s="112" t="s">
        <v>454</v>
      </c>
      <c r="D174" s="102" t="s">
        <v>1324</v>
      </c>
      <c r="E174" s="222"/>
      <c r="F174" s="101" t="s">
        <v>456</v>
      </c>
      <c r="G174" s="222"/>
      <c r="H174" s="80">
        <v>100</v>
      </c>
      <c r="I174" s="227"/>
      <c r="J174" s="102" t="s">
        <v>982</v>
      </c>
      <c r="K174" s="92"/>
      <c r="L174" s="39"/>
      <c r="M174" s="4"/>
    </row>
    <row r="175" spans="3:13" ht="16.3" x14ac:dyDescent="0.25">
      <c r="C175" s="110"/>
      <c r="D175" s="104"/>
      <c r="E175" s="223"/>
      <c r="F175" s="105" t="s">
        <v>531</v>
      </c>
      <c r="G175" s="223"/>
      <c r="H175" s="82">
        <v>30</v>
      </c>
      <c r="I175" s="228"/>
      <c r="J175" s="104"/>
      <c r="K175" s="83"/>
      <c r="L175" s="39"/>
      <c r="M175" s="4"/>
    </row>
    <row r="176" spans="3:13" ht="16.3" x14ac:dyDescent="0.25">
      <c r="C176" s="110"/>
      <c r="D176" s="104"/>
      <c r="E176" s="223"/>
      <c r="F176" s="105" t="s">
        <v>157</v>
      </c>
      <c r="G176" s="223"/>
      <c r="H176" s="82">
        <v>20</v>
      </c>
      <c r="I176" s="228"/>
      <c r="J176" s="104"/>
      <c r="K176" s="83"/>
      <c r="L176" s="39"/>
      <c r="M176" s="4"/>
    </row>
    <row r="177" spans="3:13" ht="16.3" x14ac:dyDescent="0.25">
      <c r="C177" s="111"/>
      <c r="D177" s="106"/>
      <c r="E177" s="224"/>
      <c r="F177" s="107" t="s">
        <v>541</v>
      </c>
      <c r="G177" s="224"/>
      <c r="H177" s="84">
        <v>10</v>
      </c>
      <c r="I177" s="229"/>
      <c r="J177" s="106"/>
      <c r="K177" s="85"/>
      <c r="L177" s="39"/>
      <c r="M177" s="4"/>
    </row>
    <row r="178" spans="3:13" ht="16.3" x14ac:dyDescent="0.25">
      <c r="C178" s="112" t="s">
        <v>457</v>
      </c>
      <c r="D178" s="102" t="s">
        <v>1325</v>
      </c>
      <c r="E178" s="222"/>
      <c r="F178" s="101" t="s">
        <v>459</v>
      </c>
      <c r="G178" s="222"/>
      <c r="H178" s="80">
        <v>400</v>
      </c>
      <c r="I178" s="227"/>
      <c r="J178" s="102" t="s">
        <v>982</v>
      </c>
      <c r="K178" s="92"/>
      <c r="L178" s="39"/>
      <c r="M178" s="4"/>
    </row>
    <row r="179" spans="3:13" ht="16.3" x14ac:dyDescent="0.25">
      <c r="C179" s="110"/>
      <c r="D179" s="104"/>
      <c r="E179" s="223"/>
      <c r="F179" s="105" t="s">
        <v>135</v>
      </c>
      <c r="G179" s="223"/>
      <c r="H179" s="82">
        <v>12</v>
      </c>
      <c r="I179" s="228"/>
      <c r="J179" s="104"/>
      <c r="K179" s="83"/>
      <c r="L179" s="39"/>
      <c r="M179" s="4"/>
    </row>
    <row r="180" spans="3:13" ht="16.3" x14ac:dyDescent="0.25">
      <c r="C180" s="110"/>
      <c r="D180" s="104"/>
      <c r="E180" s="223"/>
      <c r="F180" s="105" t="s">
        <v>531</v>
      </c>
      <c r="G180" s="223"/>
      <c r="H180" s="82">
        <v>12</v>
      </c>
      <c r="I180" s="228"/>
      <c r="J180" s="104"/>
      <c r="K180" s="83"/>
      <c r="L180" s="39"/>
      <c r="M180" s="4"/>
    </row>
    <row r="181" spans="3:13" ht="16.3" x14ac:dyDescent="0.25">
      <c r="C181" s="111"/>
      <c r="D181" s="106"/>
      <c r="E181" s="224"/>
      <c r="F181" s="107" t="s">
        <v>579</v>
      </c>
      <c r="G181" s="224"/>
      <c r="H181" s="84">
        <v>12</v>
      </c>
      <c r="I181" s="229"/>
      <c r="J181" s="106"/>
      <c r="K181" s="85"/>
      <c r="L181" s="39"/>
      <c r="M181" s="4"/>
    </row>
    <row r="182" spans="3:13" ht="16.3" x14ac:dyDescent="0.25">
      <c r="C182" s="112" t="s">
        <v>460</v>
      </c>
      <c r="D182" s="102" t="s">
        <v>655</v>
      </c>
      <c r="E182" s="222"/>
      <c r="F182" s="101" t="s">
        <v>544</v>
      </c>
      <c r="G182" s="222"/>
      <c r="H182" s="80">
        <v>1</v>
      </c>
      <c r="I182" s="227"/>
      <c r="J182" s="102" t="s">
        <v>982</v>
      </c>
      <c r="K182" s="92"/>
      <c r="L182" s="39"/>
      <c r="M182" s="4"/>
    </row>
    <row r="183" spans="3:13" ht="16.3" x14ac:dyDescent="0.25">
      <c r="C183" s="110"/>
      <c r="D183" s="104"/>
      <c r="E183" s="223"/>
      <c r="F183" s="105" t="s">
        <v>581</v>
      </c>
      <c r="G183" s="223"/>
      <c r="H183" s="82">
        <v>29</v>
      </c>
      <c r="I183" s="228"/>
      <c r="J183" s="104"/>
      <c r="K183" s="83"/>
      <c r="L183" s="39"/>
      <c r="M183" s="4"/>
    </row>
    <row r="184" spans="3:13" ht="16.3" x14ac:dyDescent="0.25">
      <c r="C184" s="111"/>
      <c r="D184" s="106"/>
      <c r="E184" s="224"/>
      <c r="F184" s="107" t="s">
        <v>580</v>
      </c>
      <c r="G184" s="224"/>
      <c r="H184" s="84">
        <v>10</v>
      </c>
      <c r="I184" s="229"/>
      <c r="J184" s="106"/>
      <c r="K184" s="85"/>
      <c r="L184" s="39"/>
      <c r="M184" s="4"/>
    </row>
    <row r="185" spans="3:13" ht="16.3" x14ac:dyDescent="0.25">
      <c r="C185" s="112" t="s">
        <v>461</v>
      </c>
      <c r="D185" s="102" t="s">
        <v>654</v>
      </c>
      <c r="E185" s="222"/>
      <c r="F185" s="101" t="s">
        <v>542</v>
      </c>
      <c r="G185" s="222"/>
      <c r="H185" s="80">
        <v>22</v>
      </c>
      <c r="I185" s="227"/>
      <c r="J185" s="102" t="s">
        <v>982</v>
      </c>
      <c r="K185" s="92"/>
      <c r="L185" s="39"/>
      <c r="M185" s="4"/>
    </row>
    <row r="186" spans="3:13" ht="16.3" x14ac:dyDescent="0.25">
      <c r="C186" s="110"/>
      <c r="D186" s="104"/>
      <c r="E186" s="223"/>
      <c r="F186" s="105" t="s">
        <v>531</v>
      </c>
      <c r="G186" s="223"/>
      <c r="H186" s="82">
        <v>22</v>
      </c>
      <c r="I186" s="228"/>
      <c r="J186" s="104"/>
      <c r="K186" s="83"/>
      <c r="L186" s="39"/>
      <c r="M186" s="4"/>
    </row>
    <row r="187" spans="3:13" ht="16.3" x14ac:dyDescent="0.25">
      <c r="C187" s="110"/>
      <c r="D187" s="104"/>
      <c r="E187" s="223"/>
      <c r="F187" s="105" t="s">
        <v>147</v>
      </c>
      <c r="G187" s="223"/>
      <c r="H187" s="82" t="s">
        <v>546</v>
      </c>
      <c r="I187" s="228"/>
      <c r="J187" s="104"/>
      <c r="K187" s="83"/>
      <c r="L187" s="39"/>
      <c r="M187" s="4"/>
    </row>
    <row r="188" spans="3:13" ht="16.3" x14ac:dyDescent="0.25">
      <c r="C188" s="110"/>
      <c r="D188" s="104"/>
      <c r="E188" s="223"/>
      <c r="F188" s="105" t="s">
        <v>146</v>
      </c>
      <c r="G188" s="223"/>
      <c r="H188" s="82">
        <v>22</v>
      </c>
      <c r="I188" s="228"/>
      <c r="J188" s="104"/>
      <c r="K188" s="83"/>
      <c r="L188" s="39"/>
      <c r="M188" s="4"/>
    </row>
    <row r="189" spans="3:13" ht="16.3" x14ac:dyDescent="0.25">
      <c r="C189" s="111"/>
      <c r="D189" s="106"/>
      <c r="E189" s="224"/>
      <c r="F189" s="107" t="s">
        <v>1331</v>
      </c>
      <c r="G189" s="224"/>
      <c r="H189" s="84">
        <v>22</v>
      </c>
      <c r="I189" s="229"/>
      <c r="J189" s="106"/>
      <c r="K189" s="85"/>
      <c r="L189" s="39"/>
      <c r="M189" s="4"/>
    </row>
    <row r="190" spans="3:13" ht="16.3" x14ac:dyDescent="0.25">
      <c r="C190" s="112" t="s">
        <v>462</v>
      </c>
      <c r="D190" s="102" t="s">
        <v>1000</v>
      </c>
      <c r="E190" s="222"/>
      <c r="F190" s="101" t="s">
        <v>158</v>
      </c>
      <c r="G190" s="222"/>
      <c r="H190" s="80">
        <v>200</v>
      </c>
      <c r="I190" s="227"/>
      <c r="J190" s="102" t="s">
        <v>982</v>
      </c>
      <c r="K190" s="92"/>
      <c r="L190" s="39"/>
      <c r="M190" s="4"/>
    </row>
    <row r="191" spans="3:13" ht="16.3" x14ac:dyDescent="0.25">
      <c r="C191" s="110"/>
      <c r="D191" s="104"/>
      <c r="E191" s="223"/>
      <c r="F191" s="105" t="s">
        <v>266</v>
      </c>
      <c r="G191" s="223"/>
      <c r="H191" s="82">
        <v>50</v>
      </c>
      <c r="I191" s="228"/>
      <c r="J191" s="104"/>
      <c r="K191" s="83"/>
      <c r="L191" s="39"/>
      <c r="M191" s="4"/>
    </row>
    <row r="192" spans="3:13" ht="16.3" x14ac:dyDescent="0.25">
      <c r="C192" s="110"/>
      <c r="D192" s="104"/>
      <c r="E192" s="223"/>
      <c r="F192" s="105" t="s">
        <v>39</v>
      </c>
      <c r="G192" s="223"/>
      <c r="H192" s="82">
        <v>50</v>
      </c>
      <c r="I192" s="228"/>
      <c r="J192" s="104"/>
      <c r="K192" s="83"/>
      <c r="L192" s="39"/>
      <c r="M192" s="4"/>
    </row>
    <row r="193" spans="3:13" ht="16.3" x14ac:dyDescent="0.25">
      <c r="C193" s="111"/>
      <c r="D193" s="106"/>
      <c r="E193" s="224"/>
      <c r="F193" s="107" t="s">
        <v>147</v>
      </c>
      <c r="G193" s="224"/>
      <c r="H193" s="84">
        <v>1</v>
      </c>
      <c r="I193" s="229"/>
      <c r="J193" s="106"/>
      <c r="K193" s="85"/>
      <c r="L193" s="39"/>
      <c r="M193" s="4"/>
    </row>
    <row r="194" spans="3:13" ht="16.3" x14ac:dyDescent="0.25">
      <c r="C194" s="112" t="s">
        <v>463</v>
      </c>
      <c r="D194" s="102" t="s">
        <v>2</v>
      </c>
      <c r="E194" s="222"/>
      <c r="F194" s="101" t="s">
        <v>556</v>
      </c>
      <c r="G194" s="222"/>
      <c r="H194" s="80">
        <v>6</v>
      </c>
      <c r="I194" s="227"/>
      <c r="J194" s="102" t="s">
        <v>989</v>
      </c>
      <c r="K194" s="92"/>
      <c r="L194" s="39"/>
      <c r="M194" s="4"/>
    </row>
    <row r="195" spans="3:13" ht="16.3" x14ac:dyDescent="0.25">
      <c r="C195" s="110"/>
      <c r="D195" s="104"/>
      <c r="E195" s="223"/>
      <c r="F195" s="105" t="s">
        <v>582</v>
      </c>
      <c r="G195" s="223"/>
      <c r="H195" s="82">
        <v>7</v>
      </c>
      <c r="I195" s="228"/>
      <c r="J195" s="104"/>
      <c r="K195" s="83"/>
      <c r="L195" s="39"/>
      <c r="M195" s="4"/>
    </row>
    <row r="196" spans="3:13" ht="16.3" x14ac:dyDescent="0.25">
      <c r="C196" s="110"/>
      <c r="D196" s="104"/>
      <c r="E196" s="223"/>
      <c r="F196" s="105" t="s">
        <v>542</v>
      </c>
      <c r="G196" s="223"/>
      <c r="H196" s="82">
        <v>10</v>
      </c>
      <c r="I196" s="228"/>
      <c r="J196" s="104"/>
      <c r="K196" s="83"/>
      <c r="L196" s="39"/>
      <c r="M196" s="4"/>
    </row>
    <row r="197" spans="3:13" ht="16.3" x14ac:dyDescent="0.25">
      <c r="C197" s="110"/>
      <c r="D197" s="104"/>
      <c r="E197" s="223"/>
      <c r="F197" s="105" t="s">
        <v>147</v>
      </c>
      <c r="G197" s="223"/>
      <c r="H197" s="82">
        <v>200</v>
      </c>
      <c r="I197" s="228"/>
      <c r="J197" s="104"/>
      <c r="K197" s="83"/>
      <c r="L197" s="39"/>
      <c r="M197" s="4"/>
    </row>
    <row r="198" spans="3:13" ht="16.3" x14ac:dyDescent="0.25">
      <c r="C198" s="112" t="s">
        <v>464</v>
      </c>
      <c r="D198" s="102" t="s">
        <v>655</v>
      </c>
      <c r="E198" s="222"/>
      <c r="F198" s="101" t="s">
        <v>285</v>
      </c>
      <c r="G198" s="222"/>
      <c r="H198" s="80">
        <v>5</v>
      </c>
      <c r="I198" s="227"/>
      <c r="J198" s="102" t="s">
        <v>982</v>
      </c>
      <c r="K198" s="92"/>
      <c r="L198" s="39"/>
      <c r="M198" s="4"/>
    </row>
    <row r="199" spans="3:13" ht="16.3" x14ac:dyDescent="0.25">
      <c r="C199" s="110"/>
      <c r="D199" s="104"/>
      <c r="E199" s="223"/>
      <c r="F199" s="105" t="s">
        <v>39</v>
      </c>
      <c r="G199" s="223"/>
      <c r="H199" s="82">
        <v>10</v>
      </c>
      <c r="I199" s="228"/>
      <c r="J199" s="104"/>
      <c r="K199" s="83"/>
      <c r="L199" s="39"/>
      <c r="M199" s="4"/>
    </row>
    <row r="200" spans="3:13" ht="16.3" x14ac:dyDescent="0.25">
      <c r="C200" s="111"/>
      <c r="D200" s="106"/>
      <c r="E200" s="224"/>
      <c r="F200" s="107" t="s">
        <v>583</v>
      </c>
      <c r="G200" s="224"/>
      <c r="H200" s="84">
        <v>100</v>
      </c>
      <c r="I200" s="229"/>
      <c r="J200" s="106"/>
      <c r="K200" s="85"/>
      <c r="L200" s="39"/>
      <c r="M200" s="4"/>
    </row>
    <row r="201" spans="3:13" ht="16.3" x14ac:dyDescent="0.25">
      <c r="C201" s="112" t="s">
        <v>465</v>
      </c>
      <c r="D201" s="102" t="s">
        <v>2</v>
      </c>
      <c r="E201" s="222"/>
      <c r="F201" s="101" t="s">
        <v>584</v>
      </c>
      <c r="G201" s="222"/>
      <c r="H201" s="80">
        <v>5</v>
      </c>
      <c r="I201" s="227"/>
      <c r="J201" s="102" t="s">
        <v>989</v>
      </c>
      <c r="K201" s="92"/>
      <c r="L201" s="39"/>
      <c r="M201" s="4"/>
    </row>
    <row r="202" spans="3:13" ht="16.3" x14ac:dyDescent="0.25">
      <c r="C202" s="110"/>
      <c r="D202" s="104"/>
      <c r="E202" s="223"/>
      <c r="F202" s="105" t="s">
        <v>585</v>
      </c>
      <c r="G202" s="223"/>
      <c r="H202" s="82">
        <v>10</v>
      </c>
      <c r="I202" s="228"/>
      <c r="J202" s="104"/>
      <c r="K202" s="83"/>
      <c r="L202" s="39"/>
      <c r="M202" s="4"/>
    </row>
    <row r="203" spans="3:13" ht="16.3" x14ac:dyDescent="0.25">
      <c r="C203" s="111"/>
      <c r="D203" s="106"/>
      <c r="E203" s="224"/>
      <c r="F203" s="107" t="s">
        <v>586</v>
      </c>
      <c r="G203" s="224"/>
      <c r="H203" s="84">
        <v>15</v>
      </c>
      <c r="I203" s="229"/>
      <c r="J203" s="106"/>
      <c r="K203" s="85"/>
      <c r="L203" s="39"/>
      <c r="M203" s="4"/>
    </row>
    <row r="204" spans="3:13" ht="16.3" x14ac:dyDescent="0.25">
      <c r="C204" s="259" t="s">
        <v>466</v>
      </c>
      <c r="D204" s="102" t="s">
        <v>997</v>
      </c>
      <c r="E204" s="222"/>
      <c r="F204" s="102" t="s">
        <v>542</v>
      </c>
      <c r="G204" s="222"/>
      <c r="H204" s="80">
        <v>15</v>
      </c>
      <c r="I204" s="227"/>
      <c r="J204" s="102" t="s">
        <v>1326</v>
      </c>
      <c r="K204" s="81"/>
      <c r="L204" s="39"/>
      <c r="M204" s="4"/>
    </row>
    <row r="205" spans="3:13" ht="16.3" x14ac:dyDescent="0.25">
      <c r="C205" s="260"/>
      <c r="D205" s="104"/>
      <c r="E205" s="223"/>
      <c r="F205" s="104" t="s">
        <v>587</v>
      </c>
      <c r="G205" s="223"/>
      <c r="H205" s="82">
        <v>15</v>
      </c>
      <c r="I205" s="228"/>
      <c r="J205" s="104"/>
      <c r="K205" s="261"/>
      <c r="L205" s="39"/>
      <c r="M205" s="4"/>
    </row>
    <row r="206" spans="3:13" ht="16.3" x14ac:dyDescent="0.25">
      <c r="C206" s="262"/>
      <c r="D206" s="106"/>
      <c r="E206" s="224"/>
      <c r="F206" s="106" t="s">
        <v>531</v>
      </c>
      <c r="G206" s="224"/>
      <c r="H206" s="84">
        <v>15</v>
      </c>
      <c r="I206" s="229"/>
      <c r="J206" s="106"/>
      <c r="K206" s="263"/>
      <c r="L206" s="39"/>
      <c r="M206" s="4"/>
    </row>
    <row r="207" spans="3:13" ht="16.3" x14ac:dyDescent="0.25">
      <c r="C207" s="259" t="s">
        <v>467</v>
      </c>
      <c r="D207" s="102" t="s">
        <v>658</v>
      </c>
      <c r="E207" s="222"/>
      <c r="F207" s="102" t="s">
        <v>534</v>
      </c>
      <c r="G207" s="222"/>
      <c r="H207" s="264">
        <v>9</v>
      </c>
      <c r="I207" s="265"/>
      <c r="J207" s="102" t="s">
        <v>1326</v>
      </c>
      <c r="K207" s="81"/>
      <c r="L207" s="39"/>
      <c r="M207" s="4"/>
    </row>
    <row r="208" spans="3:13" ht="16.3" x14ac:dyDescent="0.25">
      <c r="C208" s="260"/>
      <c r="D208" s="104"/>
      <c r="E208" s="223"/>
      <c r="F208" s="104" t="s">
        <v>588</v>
      </c>
      <c r="G208" s="223"/>
      <c r="H208" s="266">
        <v>15</v>
      </c>
      <c r="I208" s="267"/>
      <c r="J208" s="104"/>
      <c r="K208" s="261"/>
      <c r="L208" s="39"/>
      <c r="M208" s="4"/>
    </row>
    <row r="209" spans="3:13" ht="16.3" x14ac:dyDescent="0.25">
      <c r="C209" s="260"/>
      <c r="D209" s="104"/>
      <c r="E209" s="223"/>
      <c r="F209" s="104" t="s">
        <v>39</v>
      </c>
      <c r="G209" s="223"/>
      <c r="H209" s="266">
        <v>21</v>
      </c>
      <c r="I209" s="267"/>
      <c r="J209" s="104"/>
      <c r="K209" s="261"/>
      <c r="L209" s="39"/>
      <c r="M209" s="4"/>
    </row>
    <row r="210" spans="3:13" ht="16.3" x14ac:dyDescent="0.25">
      <c r="C210" s="262"/>
      <c r="D210" s="106"/>
      <c r="E210" s="224"/>
      <c r="F210" s="106" t="s">
        <v>147</v>
      </c>
      <c r="G210" s="224"/>
      <c r="H210" s="268">
        <v>800</v>
      </c>
      <c r="I210" s="269"/>
      <c r="J210" s="106"/>
      <c r="K210" s="263"/>
      <c r="L210" s="39"/>
      <c r="M210" s="4"/>
    </row>
    <row r="211" spans="3:13" ht="16.3" x14ac:dyDescent="0.25">
      <c r="C211" s="259" t="s">
        <v>468</v>
      </c>
      <c r="D211" s="102" t="s">
        <v>1327</v>
      </c>
      <c r="E211" s="222"/>
      <c r="F211" s="102" t="s">
        <v>561</v>
      </c>
      <c r="G211" s="222"/>
      <c r="H211" s="264">
        <v>10</v>
      </c>
      <c r="I211" s="265"/>
      <c r="J211" s="102" t="s">
        <v>982</v>
      </c>
      <c r="K211" s="81"/>
      <c r="L211" s="39"/>
      <c r="M211" s="4"/>
    </row>
    <row r="212" spans="3:13" ht="16.3" x14ac:dyDescent="0.25">
      <c r="C212" s="260"/>
      <c r="D212" s="104"/>
      <c r="E212" s="223"/>
      <c r="F212" s="104" t="s">
        <v>48</v>
      </c>
      <c r="G212" s="223"/>
      <c r="H212" s="266">
        <v>15</v>
      </c>
      <c r="I212" s="267"/>
      <c r="J212" s="104"/>
      <c r="K212" s="261"/>
      <c r="L212" s="39"/>
      <c r="M212" s="4"/>
    </row>
    <row r="213" spans="3:13" ht="16.3" x14ac:dyDescent="0.25">
      <c r="C213" s="260"/>
      <c r="D213" s="104"/>
      <c r="E213" s="223"/>
      <c r="F213" s="104" t="s">
        <v>589</v>
      </c>
      <c r="G213" s="223"/>
      <c r="H213" s="266">
        <v>15</v>
      </c>
      <c r="I213" s="267"/>
      <c r="J213" s="104"/>
      <c r="K213" s="261"/>
      <c r="L213" s="39"/>
      <c r="M213" s="4"/>
    </row>
    <row r="214" spans="3:13" ht="16.3" x14ac:dyDescent="0.25">
      <c r="C214" s="260"/>
      <c r="D214" s="104"/>
      <c r="E214" s="223"/>
      <c r="F214" s="104" t="s">
        <v>48</v>
      </c>
      <c r="G214" s="223"/>
      <c r="H214" s="266">
        <v>15</v>
      </c>
      <c r="I214" s="267"/>
      <c r="J214" s="104"/>
      <c r="K214" s="261"/>
      <c r="L214" s="39"/>
      <c r="M214" s="4"/>
    </row>
    <row r="215" spans="3:13" ht="16.3" x14ac:dyDescent="0.25">
      <c r="C215" s="260"/>
      <c r="D215" s="104"/>
      <c r="E215" s="223"/>
      <c r="F215" s="104" t="s">
        <v>39</v>
      </c>
      <c r="G215" s="223"/>
      <c r="H215" s="266">
        <v>20</v>
      </c>
      <c r="I215" s="267"/>
      <c r="J215" s="104"/>
      <c r="K215" s="261"/>
      <c r="L215" s="39"/>
      <c r="M215" s="4"/>
    </row>
    <row r="216" spans="3:13" ht="16.3" x14ac:dyDescent="0.25">
      <c r="C216" s="262"/>
      <c r="D216" s="106"/>
      <c r="E216" s="224"/>
      <c r="F216" s="106" t="s">
        <v>48</v>
      </c>
      <c r="G216" s="224"/>
      <c r="H216" s="268">
        <v>15</v>
      </c>
      <c r="I216" s="269"/>
      <c r="J216" s="106"/>
      <c r="K216" s="263"/>
      <c r="L216" s="39"/>
      <c r="M216" s="4"/>
    </row>
    <row r="217" spans="3:13" ht="16.3" x14ac:dyDescent="0.25">
      <c r="C217" s="259" t="s">
        <v>469</v>
      </c>
      <c r="D217" s="102" t="s">
        <v>1327</v>
      </c>
      <c r="E217" s="222"/>
      <c r="F217" s="102" t="s">
        <v>147</v>
      </c>
      <c r="G217" s="222"/>
      <c r="H217" s="264">
        <v>1</v>
      </c>
      <c r="I217" s="265"/>
      <c r="J217" s="102" t="s">
        <v>982</v>
      </c>
      <c r="K217" s="81"/>
      <c r="L217" s="39"/>
      <c r="M217" s="4"/>
    </row>
    <row r="218" spans="3:13" ht="16.3" x14ac:dyDescent="0.25">
      <c r="C218" s="260"/>
      <c r="D218" s="104"/>
      <c r="E218" s="223"/>
      <c r="F218" s="104" t="s">
        <v>590</v>
      </c>
      <c r="G218" s="223"/>
      <c r="H218" s="266">
        <v>21</v>
      </c>
      <c r="I218" s="267"/>
      <c r="J218" s="104"/>
      <c r="K218" s="261"/>
      <c r="L218" s="39"/>
      <c r="M218" s="4"/>
    </row>
    <row r="219" spans="3:13" ht="16.3" x14ac:dyDescent="0.25">
      <c r="C219" s="260"/>
      <c r="D219" s="104"/>
      <c r="E219" s="223"/>
      <c r="F219" s="104" t="s">
        <v>147</v>
      </c>
      <c r="G219" s="223"/>
      <c r="H219" s="266">
        <v>800</v>
      </c>
      <c r="I219" s="267"/>
      <c r="J219" s="104"/>
      <c r="K219" s="261"/>
      <c r="L219" s="39"/>
      <c r="M219" s="4"/>
    </row>
    <row r="220" spans="3:13" ht="16.3" x14ac:dyDescent="0.25">
      <c r="C220" s="260"/>
      <c r="D220" s="104"/>
      <c r="E220" s="223"/>
      <c r="F220" s="104" t="s">
        <v>590</v>
      </c>
      <c r="G220" s="223"/>
      <c r="H220" s="266">
        <v>21</v>
      </c>
      <c r="I220" s="267"/>
      <c r="J220" s="104"/>
      <c r="K220" s="261"/>
      <c r="L220" s="39"/>
      <c r="M220" s="4"/>
    </row>
    <row r="221" spans="3:13" ht="16.3" x14ac:dyDescent="0.25">
      <c r="C221" s="262"/>
      <c r="D221" s="106"/>
      <c r="E221" s="224"/>
      <c r="F221" s="106" t="s">
        <v>435</v>
      </c>
      <c r="G221" s="224"/>
      <c r="H221" s="268">
        <v>1</v>
      </c>
      <c r="I221" s="269"/>
      <c r="J221" s="106"/>
      <c r="K221" s="263"/>
      <c r="L221" s="39"/>
      <c r="M221" s="4"/>
    </row>
    <row r="222" spans="3:13" ht="16.3" x14ac:dyDescent="0.25">
      <c r="C222" s="259" t="s">
        <v>470</v>
      </c>
      <c r="D222" s="102" t="s">
        <v>1328</v>
      </c>
      <c r="E222" s="222"/>
      <c r="F222" s="102" t="s">
        <v>587</v>
      </c>
      <c r="G222" s="222"/>
      <c r="H222" s="264">
        <v>5</v>
      </c>
      <c r="I222" s="265"/>
      <c r="J222" s="102" t="s">
        <v>982</v>
      </c>
      <c r="K222" s="81"/>
      <c r="L222" s="39"/>
      <c r="M222" s="4"/>
    </row>
    <row r="223" spans="3:13" ht="16.3" x14ac:dyDescent="0.25">
      <c r="C223" s="260"/>
      <c r="E223" s="223"/>
      <c r="F223" s="104" t="s">
        <v>591</v>
      </c>
      <c r="G223" s="223"/>
      <c r="H223" s="266">
        <v>10</v>
      </c>
      <c r="I223" s="267"/>
      <c r="J223" s="104"/>
      <c r="K223" s="261"/>
      <c r="L223" s="39"/>
      <c r="M223" s="4"/>
    </row>
    <row r="224" spans="3:13" ht="16.3" x14ac:dyDescent="0.25">
      <c r="C224" s="260"/>
      <c r="D224" s="104"/>
      <c r="E224" s="223"/>
      <c r="F224" s="104" t="s">
        <v>592</v>
      </c>
      <c r="G224" s="223"/>
      <c r="H224" s="266">
        <v>5</v>
      </c>
      <c r="I224" s="267"/>
      <c r="J224" s="104"/>
      <c r="K224" s="261"/>
      <c r="L224" s="39"/>
      <c r="M224" s="4"/>
    </row>
    <row r="225" spans="3:13" ht="16.3" x14ac:dyDescent="0.25">
      <c r="C225" s="262"/>
      <c r="D225" s="106"/>
      <c r="E225" s="224"/>
      <c r="F225" s="106" t="s">
        <v>39</v>
      </c>
      <c r="G225" s="224"/>
      <c r="H225" s="268">
        <v>20</v>
      </c>
      <c r="I225" s="269"/>
      <c r="J225" s="106"/>
      <c r="K225" s="263"/>
      <c r="L225" s="39"/>
      <c r="M225" s="4"/>
    </row>
    <row r="226" spans="3:13" ht="16.3" x14ac:dyDescent="0.25">
      <c r="C226" s="259" t="s">
        <v>471</v>
      </c>
      <c r="D226" s="102" t="s">
        <v>2</v>
      </c>
      <c r="E226" s="222"/>
      <c r="F226" s="102" t="s">
        <v>544</v>
      </c>
      <c r="G226" s="222"/>
      <c r="H226" s="264">
        <v>1</v>
      </c>
      <c r="I226" s="265"/>
      <c r="J226" s="102" t="s">
        <v>989</v>
      </c>
      <c r="K226" s="81"/>
      <c r="L226" s="39"/>
      <c r="M226" s="4"/>
    </row>
    <row r="227" spans="3:13" ht="16.3" x14ac:dyDescent="0.25">
      <c r="C227" s="260"/>
      <c r="D227" s="104"/>
      <c r="E227" s="223"/>
      <c r="F227" s="104" t="s">
        <v>147</v>
      </c>
      <c r="G227" s="223"/>
      <c r="H227" s="266">
        <v>400</v>
      </c>
      <c r="I227" s="267"/>
      <c r="J227" s="104"/>
      <c r="K227" s="261"/>
      <c r="L227" s="39"/>
      <c r="M227" s="4"/>
    </row>
    <row r="228" spans="3:13" ht="16.3" x14ac:dyDescent="0.25">
      <c r="C228" s="260"/>
      <c r="D228" s="104"/>
      <c r="E228" s="223"/>
      <c r="F228" s="104" t="s">
        <v>541</v>
      </c>
      <c r="G228" s="223"/>
      <c r="H228" s="266" t="s">
        <v>524</v>
      </c>
      <c r="I228" s="267"/>
      <c r="J228" s="104"/>
      <c r="K228" s="261"/>
      <c r="L228" s="39"/>
      <c r="M228" s="4"/>
    </row>
    <row r="229" spans="3:13" ht="16.3" x14ac:dyDescent="0.25">
      <c r="C229" s="259" t="s">
        <v>472</v>
      </c>
      <c r="D229" s="102" t="s">
        <v>1329</v>
      </c>
      <c r="E229" s="222"/>
      <c r="F229" s="102" t="s">
        <v>559</v>
      </c>
      <c r="G229" s="222"/>
      <c r="H229" s="264">
        <v>50</v>
      </c>
      <c r="I229" s="265"/>
      <c r="J229" s="102" t="s">
        <v>982</v>
      </c>
      <c r="K229" s="81" t="s">
        <v>458</v>
      </c>
      <c r="L229" s="39"/>
      <c r="M229" s="4"/>
    </row>
    <row r="230" spans="3:13" ht="16.3" x14ac:dyDescent="0.25">
      <c r="C230" s="262"/>
      <c r="D230" s="106"/>
      <c r="E230" s="224"/>
      <c r="F230" s="106" t="s">
        <v>36</v>
      </c>
      <c r="G230" s="224"/>
      <c r="H230" s="268">
        <v>25</v>
      </c>
      <c r="I230" s="269"/>
      <c r="J230" s="106"/>
      <c r="K230" s="263"/>
      <c r="L230" s="39"/>
      <c r="M230" s="4"/>
    </row>
    <row r="231" spans="3:13" ht="16.3" x14ac:dyDescent="0.25">
      <c r="C231" s="259" t="s">
        <v>473</v>
      </c>
      <c r="D231" s="102" t="s">
        <v>1330</v>
      </c>
      <c r="E231" s="222"/>
      <c r="F231" s="102" t="s">
        <v>593</v>
      </c>
      <c r="G231" s="222"/>
      <c r="H231" s="264">
        <v>10</v>
      </c>
      <c r="I231" s="265"/>
      <c r="J231" s="102" t="s">
        <v>982</v>
      </c>
      <c r="K231" s="81" t="s">
        <v>439</v>
      </c>
      <c r="L231" s="39"/>
      <c r="M231" s="4"/>
    </row>
    <row r="232" spans="3:13" ht="16.3" x14ac:dyDescent="0.25">
      <c r="C232" s="260"/>
      <c r="D232" s="104"/>
      <c r="E232" s="223"/>
      <c r="F232" s="104" t="s">
        <v>544</v>
      </c>
      <c r="G232" s="223"/>
      <c r="H232" s="266">
        <v>1</v>
      </c>
      <c r="I232" s="267"/>
      <c r="J232" s="104"/>
      <c r="K232" s="261"/>
      <c r="L232" s="39"/>
      <c r="M232" s="4"/>
    </row>
    <row r="233" spans="3:13" ht="16.3" x14ac:dyDescent="0.25">
      <c r="C233" s="260"/>
      <c r="D233" s="104"/>
      <c r="E233" s="223"/>
      <c r="F233" s="104" t="s">
        <v>593</v>
      </c>
      <c r="G233" s="223"/>
      <c r="H233" s="266">
        <v>10</v>
      </c>
      <c r="I233" s="267"/>
      <c r="J233" s="104"/>
      <c r="K233" s="261"/>
      <c r="L233" s="39"/>
      <c r="M233" s="4"/>
    </row>
    <row r="234" spans="3:13" ht="16.3" x14ac:dyDescent="0.25">
      <c r="C234" s="262"/>
      <c r="D234" s="106"/>
      <c r="E234" s="224"/>
      <c r="F234" s="106" t="s">
        <v>544</v>
      </c>
      <c r="G234" s="224"/>
      <c r="H234" s="268">
        <v>1</v>
      </c>
      <c r="I234" s="269"/>
      <c r="J234" s="106"/>
      <c r="K234" s="263"/>
      <c r="L234" s="39"/>
      <c r="M234" s="4"/>
    </row>
    <row r="235" spans="3:13" ht="16.3" x14ac:dyDescent="0.25">
      <c r="C235" s="259" t="s">
        <v>474</v>
      </c>
      <c r="D235" s="102" t="s">
        <v>658</v>
      </c>
      <c r="E235" s="222"/>
      <c r="F235" s="102" t="s">
        <v>87</v>
      </c>
      <c r="G235" s="222"/>
      <c r="H235" s="264">
        <v>1000</v>
      </c>
      <c r="I235" s="265"/>
      <c r="J235" s="102" t="s">
        <v>982</v>
      </c>
      <c r="K235" s="81"/>
      <c r="L235" s="39"/>
      <c r="M235" s="4"/>
    </row>
    <row r="236" spans="3:13" ht="16.3" x14ac:dyDescent="0.25">
      <c r="C236" s="260"/>
      <c r="D236" s="104"/>
      <c r="E236" s="223"/>
      <c r="F236" s="104" t="s">
        <v>489</v>
      </c>
      <c r="G236" s="223"/>
      <c r="H236" s="266">
        <v>50</v>
      </c>
      <c r="I236" s="267"/>
      <c r="J236" s="104"/>
      <c r="K236" s="261"/>
      <c r="L236" s="39"/>
      <c r="M236" s="4"/>
    </row>
    <row r="237" spans="3:13" ht="16.3" x14ac:dyDescent="0.25">
      <c r="C237" s="260"/>
      <c r="D237" s="104"/>
      <c r="E237" s="223"/>
      <c r="F237" s="104" t="s">
        <v>531</v>
      </c>
      <c r="G237" s="223"/>
      <c r="H237" s="266">
        <v>50</v>
      </c>
      <c r="I237" s="267"/>
      <c r="J237" s="104"/>
      <c r="K237" s="261"/>
      <c r="L237" s="39"/>
      <c r="M237" s="4"/>
    </row>
    <row r="238" spans="3:13" ht="16.3" x14ac:dyDescent="0.25">
      <c r="C238" s="262"/>
      <c r="D238" s="106"/>
      <c r="E238" s="224"/>
      <c r="F238" s="106" t="s">
        <v>147</v>
      </c>
      <c r="G238" s="224"/>
      <c r="H238" s="268">
        <v>800</v>
      </c>
      <c r="I238" s="269"/>
      <c r="J238" s="106"/>
      <c r="K238" s="263"/>
      <c r="L238" s="39"/>
      <c r="M238" s="4"/>
    </row>
    <row r="239" spans="3:13" ht="16.3" x14ac:dyDescent="0.25">
      <c r="C239" s="259" t="s">
        <v>475</v>
      </c>
      <c r="D239" s="102" t="s">
        <v>8</v>
      </c>
      <c r="E239" s="222"/>
      <c r="F239" s="102" t="s">
        <v>594</v>
      </c>
      <c r="G239" s="222"/>
      <c r="H239" s="264" t="s">
        <v>1332</v>
      </c>
      <c r="I239" s="265"/>
      <c r="J239" s="102"/>
      <c r="K239" s="270"/>
      <c r="L239" s="39"/>
      <c r="M239" s="4"/>
    </row>
    <row r="240" spans="3:13" ht="16.3" x14ac:dyDescent="0.25">
      <c r="C240" s="260"/>
      <c r="D240" s="104"/>
      <c r="E240" s="223"/>
      <c r="F240" s="104" t="s">
        <v>595</v>
      </c>
      <c r="G240" s="223"/>
      <c r="H240" s="266" t="s">
        <v>1333</v>
      </c>
      <c r="I240" s="267"/>
      <c r="J240" s="104"/>
      <c r="K240" s="271"/>
      <c r="L240" s="39"/>
      <c r="M240" s="4"/>
    </row>
    <row r="241" spans="3:13" ht="16.3" x14ac:dyDescent="0.25">
      <c r="C241" s="262"/>
      <c r="D241" s="106"/>
      <c r="E241" s="224"/>
      <c r="F241" s="106" t="s">
        <v>596</v>
      </c>
      <c r="G241" s="224"/>
      <c r="H241" s="268" t="s">
        <v>1334</v>
      </c>
      <c r="I241" s="269"/>
      <c r="J241" s="106"/>
      <c r="K241" s="263"/>
      <c r="L241" s="39"/>
      <c r="M241" s="4"/>
    </row>
    <row r="242" spans="3:13" ht="16.3" x14ac:dyDescent="0.25">
      <c r="C242" s="115" t="s">
        <v>476</v>
      </c>
      <c r="F242" s="78" t="s">
        <v>147</v>
      </c>
      <c r="H242" s="37">
        <v>400</v>
      </c>
      <c r="I242" s="45"/>
      <c r="K242" s="28" t="s">
        <v>439</v>
      </c>
      <c r="L242" s="39"/>
      <c r="M242" s="4"/>
    </row>
    <row r="243" spans="3:13" ht="17" thickBot="1" x14ac:dyDescent="0.3">
      <c r="C243" s="116"/>
      <c r="F243" s="117" t="s">
        <v>581</v>
      </c>
      <c r="H243" s="38">
        <v>29</v>
      </c>
      <c r="I243" s="45"/>
      <c r="K243" s="29"/>
      <c r="L243" s="39"/>
      <c r="M243" s="4"/>
    </row>
    <row r="244" spans="3:13" ht="16.3" x14ac:dyDescent="0.25">
      <c r="C244" s="113" t="s">
        <v>477</v>
      </c>
      <c r="F244" s="114" t="s">
        <v>591</v>
      </c>
      <c r="H244" s="36">
        <v>5</v>
      </c>
      <c r="I244" s="45"/>
      <c r="K244" s="26" t="s">
        <v>478</v>
      </c>
      <c r="L244" s="39"/>
      <c r="M244" s="4"/>
    </row>
    <row r="245" spans="3:13" ht="17" thickBot="1" x14ac:dyDescent="0.3">
      <c r="C245" s="116"/>
      <c r="F245" s="117" t="s">
        <v>574</v>
      </c>
      <c r="H245" s="38">
        <v>26</v>
      </c>
      <c r="I245" s="45"/>
      <c r="K245" s="29"/>
      <c r="L245" s="39"/>
      <c r="M245" s="4"/>
    </row>
    <row r="246" spans="3:13" ht="16.3" x14ac:dyDescent="0.25">
      <c r="C246" s="113" t="s">
        <v>479</v>
      </c>
      <c r="F246" s="114" t="s">
        <v>583</v>
      </c>
      <c r="H246" s="36">
        <v>100</v>
      </c>
      <c r="I246" s="45"/>
      <c r="K246" s="26" t="s">
        <v>160</v>
      </c>
      <c r="L246" s="39"/>
      <c r="M246" s="4"/>
    </row>
    <row r="247" spans="3:13" ht="16.3" x14ac:dyDescent="0.25">
      <c r="C247" s="115"/>
      <c r="F247" s="78" t="s">
        <v>39</v>
      </c>
      <c r="H247" s="37">
        <v>10</v>
      </c>
      <c r="I247" s="45"/>
      <c r="K247" s="28"/>
      <c r="L247" s="39"/>
      <c r="M247" s="4"/>
    </row>
    <row r="248" spans="3:13" ht="16.3" x14ac:dyDescent="0.25">
      <c r="C248" s="115"/>
      <c r="F248" s="78" t="s">
        <v>583</v>
      </c>
      <c r="H248" s="37">
        <v>100</v>
      </c>
      <c r="I248" s="45"/>
      <c r="K248" s="28"/>
      <c r="L248" s="39"/>
      <c r="M248" s="4"/>
    </row>
    <row r="249" spans="3:13" ht="16.3" x14ac:dyDescent="0.25">
      <c r="C249" s="115"/>
      <c r="F249" s="78" t="s">
        <v>146</v>
      </c>
      <c r="H249" s="37">
        <v>10</v>
      </c>
      <c r="I249" s="45"/>
      <c r="K249" s="28"/>
      <c r="L249" s="39"/>
      <c r="M249" s="4"/>
    </row>
    <row r="250" spans="3:13" ht="17" thickBot="1" x14ac:dyDescent="0.3">
      <c r="C250" s="116"/>
      <c r="F250" s="117" t="s">
        <v>597</v>
      </c>
      <c r="H250" s="38">
        <v>30</v>
      </c>
      <c r="I250" s="45"/>
      <c r="K250" s="29"/>
      <c r="L250" s="39"/>
      <c r="M250" s="4"/>
    </row>
    <row r="251" spans="3:13" ht="16.3" x14ac:dyDescent="0.25">
      <c r="C251" s="113" t="s">
        <v>480</v>
      </c>
      <c r="F251" s="114" t="s">
        <v>534</v>
      </c>
      <c r="H251" s="36">
        <v>20</v>
      </c>
      <c r="I251" s="45"/>
      <c r="K251" s="26" t="s">
        <v>422</v>
      </c>
      <c r="L251" s="39"/>
      <c r="M251" s="4"/>
    </row>
    <row r="252" spans="3:13" ht="16.3" x14ac:dyDescent="0.25">
      <c r="C252" s="115"/>
      <c r="F252" s="78" t="s">
        <v>598</v>
      </c>
      <c r="H252" s="37">
        <v>25</v>
      </c>
      <c r="I252" s="45"/>
      <c r="K252" s="28"/>
      <c r="L252" s="39"/>
      <c r="M252" s="4"/>
    </row>
    <row r="253" spans="3:13" ht="16.3" x14ac:dyDescent="0.25">
      <c r="C253" s="115"/>
      <c r="F253" s="78" t="s">
        <v>560</v>
      </c>
      <c r="H253" s="37">
        <v>30</v>
      </c>
      <c r="I253" s="45"/>
      <c r="K253" s="28"/>
      <c r="L253" s="39"/>
      <c r="M253" s="4"/>
    </row>
    <row r="254" spans="3:13" ht="16.3" x14ac:dyDescent="0.25">
      <c r="C254" s="115"/>
      <c r="F254" s="78" t="s">
        <v>599</v>
      </c>
      <c r="H254" s="37">
        <v>35</v>
      </c>
      <c r="I254" s="45"/>
      <c r="K254" s="28"/>
      <c r="L254" s="39"/>
      <c r="M254" s="4"/>
    </row>
    <row r="255" spans="3:13" ht="17" thickBot="1" x14ac:dyDescent="0.3">
      <c r="C255" s="116"/>
      <c r="F255" s="117" t="s">
        <v>600</v>
      </c>
      <c r="H255" s="38">
        <v>40</v>
      </c>
      <c r="I255" s="45"/>
      <c r="K255" s="29"/>
      <c r="L255" s="39"/>
      <c r="M255" s="4"/>
    </row>
    <row r="256" spans="3:13" ht="16.3" x14ac:dyDescent="0.25">
      <c r="C256" s="113" t="s">
        <v>481</v>
      </c>
      <c r="F256" s="114" t="s">
        <v>601</v>
      </c>
      <c r="H256" s="36">
        <v>18</v>
      </c>
      <c r="I256" s="45"/>
      <c r="K256" s="26" t="s">
        <v>439</v>
      </c>
      <c r="L256" s="39"/>
      <c r="M256" s="4"/>
    </row>
    <row r="257" spans="3:13" ht="16.3" x14ac:dyDescent="0.25">
      <c r="C257" s="115"/>
      <c r="F257" s="78" t="s">
        <v>39</v>
      </c>
      <c r="H257" s="37">
        <v>18</v>
      </c>
      <c r="I257" s="45"/>
      <c r="K257" s="28"/>
      <c r="L257" s="39"/>
      <c r="M257" s="4"/>
    </row>
    <row r="258" spans="3:13" ht="16.3" x14ac:dyDescent="0.25">
      <c r="C258" s="115"/>
      <c r="F258" s="78" t="s">
        <v>587</v>
      </c>
      <c r="H258" s="37">
        <v>10</v>
      </c>
      <c r="I258" s="45"/>
      <c r="K258" s="28"/>
      <c r="L258" s="39"/>
      <c r="M258" s="4"/>
    </row>
    <row r="259" spans="3:13" ht="17" thickBot="1" x14ac:dyDescent="0.3">
      <c r="C259" s="116"/>
      <c r="F259" s="117" t="s">
        <v>541</v>
      </c>
      <c r="H259" s="38">
        <v>10</v>
      </c>
      <c r="I259" s="45"/>
      <c r="K259" s="29"/>
      <c r="L259" s="39"/>
      <c r="M259" s="4"/>
    </row>
    <row r="260" spans="3:13" ht="16.3" x14ac:dyDescent="0.25">
      <c r="C260" s="113" t="s">
        <v>482</v>
      </c>
      <c r="F260" s="114" t="s">
        <v>602</v>
      </c>
      <c r="H260" s="36"/>
      <c r="I260" s="45"/>
      <c r="K260" s="40" t="s">
        <v>483</v>
      </c>
      <c r="L260" s="39"/>
      <c r="M260" s="4"/>
    </row>
    <row r="261" spans="3:13" ht="16.3" x14ac:dyDescent="0.25">
      <c r="C261" s="115"/>
      <c r="F261" s="78" t="s">
        <v>484</v>
      </c>
      <c r="H261" s="37"/>
      <c r="I261" s="45"/>
      <c r="K261" s="41" t="s">
        <v>8</v>
      </c>
      <c r="L261" s="39"/>
      <c r="M261" s="4"/>
    </row>
    <row r="262" spans="3:13" ht="16.3" x14ac:dyDescent="0.25">
      <c r="C262" s="115"/>
      <c r="F262" s="78" t="s">
        <v>98</v>
      </c>
      <c r="H262" s="37"/>
      <c r="I262" s="45"/>
      <c r="K262" s="28"/>
      <c r="L262" s="39"/>
      <c r="M262" s="4"/>
    </row>
    <row r="263" spans="3:13" ht="17" thickBot="1" x14ac:dyDescent="0.3">
      <c r="C263" s="116"/>
      <c r="F263" s="117" t="s">
        <v>595</v>
      </c>
      <c r="H263" s="38"/>
      <c r="I263" s="45"/>
      <c r="K263" s="29"/>
      <c r="L263" s="39"/>
      <c r="M263" s="4"/>
    </row>
    <row r="264" spans="3:13" ht="16.3" x14ac:dyDescent="0.25">
      <c r="C264" s="113" t="s">
        <v>485</v>
      </c>
      <c r="F264" s="114" t="s">
        <v>541</v>
      </c>
      <c r="H264" s="36">
        <v>3</v>
      </c>
      <c r="I264" s="45"/>
      <c r="K264" s="26" t="s">
        <v>160</v>
      </c>
      <c r="L264" s="39"/>
      <c r="M264" s="4"/>
    </row>
    <row r="265" spans="3:13" ht="16.3" x14ac:dyDescent="0.25">
      <c r="C265" s="115"/>
      <c r="F265" s="78" t="s">
        <v>569</v>
      </c>
      <c r="H265" s="37">
        <v>6</v>
      </c>
      <c r="I265" s="45"/>
      <c r="K265" s="28"/>
      <c r="L265" s="39"/>
      <c r="M265" s="4"/>
    </row>
    <row r="266" spans="3:13" ht="16.3" x14ac:dyDescent="0.25">
      <c r="C266" s="115"/>
      <c r="F266" s="78" t="s">
        <v>39</v>
      </c>
      <c r="H266" s="37">
        <v>12</v>
      </c>
      <c r="I266" s="45"/>
      <c r="K266" s="28"/>
      <c r="L266" s="39"/>
      <c r="M266" s="4"/>
    </row>
    <row r="267" spans="3:13" ht="17" thickBot="1" x14ac:dyDescent="0.3">
      <c r="C267" s="116"/>
      <c r="F267" s="117" t="s">
        <v>158</v>
      </c>
      <c r="H267" s="38">
        <v>24</v>
      </c>
      <c r="I267" s="45"/>
      <c r="K267" s="29"/>
      <c r="L267" s="39"/>
      <c r="M267" s="4"/>
    </row>
    <row r="268" spans="3:13" ht="16.3" x14ac:dyDescent="0.25">
      <c r="C268" s="113" t="s">
        <v>486</v>
      </c>
      <c r="F268" s="114" t="s">
        <v>567</v>
      </c>
      <c r="H268" s="36">
        <v>3</v>
      </c>
      <c r="I268" s="45"/>
      <c r="K268" s="26" t="s">
        <v>413</v>
      </c>
      <c r="L268" s="39"/>
      <c r="M268" s="4"/>
    </row>
    <row r="269" spans="3:13" ht="16.3" x14ac:dyDescent="0.25">
      <c r="C269" s="115"/>
      <c r="F269" s="78" t="s">
        <v>603</v>
      </c>
      <c r="H269" s="37">
        <v>10</v>
      </c>
      <c r="I269" s="45"/>
      <c r="K269" s="28"/>
      <c r="L269" s="39"/>
      <c r="M269" s="4"/>
    </row>
    <row r="270" spans="3:13" ht="16.3" x14ac:dyDescent="0.25">
      <c r="C270" s="115"/>
      <c r="F270" s="78" t="s">
        <v>604</v>
      </c>
      <c r="H270" s="37">
        <v>21</v>
      </c>
      <c r="I270" s="45"/>
      <c r="K270" s="28"/>
      <c r="L270" s="39"/>
      <c r="M270" s="4"/>
    </row>
    <row r="271" spans="3:13" ht="17" thickBot="1" x14ac:dyDescent="0.3">
      <c r="C271" s="116"/>
      <c r="F271" s="117" t="s">
        <v>147</v>
      </c>
      <c r="H271" s="38">
        <v>400</v>
      </c>
      <c r="I271" s="45"/>
      <c r="K271" s="29"/>
      <c r="L271" s="39"/>
      <c r="M271" s="4"/>
    </row>
    <row r="272" spans="3:13" ht="16.3" x14ac:dyDescent="0.25">
      <c r="C272" s="113" t="s">
        <v>487</v>
      </c>
      <c r="F272" s="114" t="s">
        <v>605</v>
      </c>
      <c r="H272" s="36">
        <v>1</v>
      </c>
      <c r="I272" s="45"/>
      <c r="K272" s="40" t="s">
        <v>488</v>
      </c>
      <c r="L272" s="39"/>
      <c r="M272" s="4"/>
    </row>
    <row r="273" spans="3:13" ht="16.3" x14ac:dyDescent="0.25">
      <c r="C273" s="115"/>
      <c r="F273" s="78" t="s">
        <v>606</v>
      </c>
      <c r="H273" s="37">
        <v>1</v>
      </c>
      <c r="I273" s="45"/>
      <c r="K273" s="41" t="s">
        <v>3</v>
      </c>
      <c r="L273" s="39"/>
      <c r="M273" s="4"/>
    </row>
    <row r="274" spans="3:13" ht="16.3" x14ac:dyDescent="0.25">
      <c r="C274" s="115"/>
      <c r="F274" s="78" t="s">
        <v>556</v>
      </c>
      <c r="H274" s="37">
        <v>1</v>
      </c>
      <c r="I274" s="45"/>
      <c r="K274" s="28"/>
      <c r="L274" s="39"/>
      <c r="M274" s="4"/>
    </row>
    <row r="275" spans="3:13" ht="16.3" x14ac:dyDescent="0.25">
      <c r="C275" s="115"/>
      <c r="F275" s="78" t="s">
        <v>146</v>
      </c>
      <c r="H275" s="37">
        <v>1</v>
      </c>
      <c r="I275" s="45"/>
      <c r="K275" s="28"/>
      <c r="L275" s="39"/>
      <c r="M275" s="4"/>
    </row>
    <row r="276" spans="3:13" ht="16.3" x14ac:dyDescent="0.25">
      <c r="C276" s="115"/>
      <c r="F276" s="78" t="s">
        <v>592</v>
      </c>
      <c r="H276" s="37">
        <v>1</v>
      </c>
      <c r="I276" s="45"/>
      <c r="K276" s="28"/>
      <c r="L276" s="39"/>
      <c r="M276" s="4"/>
    </row>
    <row r="277" spans="3:13" ht="17" thickBot="1" x14ac:dyDescent="0.3">
      <c r="C277" s="116"/>
      <c r="F277" s="117" t="s">
        <v>597</v>
      </c>
      <c r="H277" s="38">
        <v>1</v>
      </c>
      <c r="I277" s="45"/>
      <c r="K277" s="29"/>
      <c r="L277" s="39"/>
      <c r="M277" s="4"/>
    </row>
    <row r="278" spans="3:13" ht="16.3" x14ac:dyDescent="0.25">
      <c r="C278" s="113" t="s">
        <v>490</v>
      </c>
      <c r="F278" s="114" t="s">
        <v>147</v>
      </c>
      <c r="H278" s="36">
        <v>400</v>
      </c>
      <c r="I278" s="45"/>
      <c r="K278" s="26" t="s">
        <v>413</v>
      </c>
      <c r="L278" s="39"/>
      <c r="M278" s="4"/>
    </row>
    <row r="279" spans="3:13" ht="16.3" x14ac:dyDescent="0.25">
      <c r="C279" s="115"/>
      <c r="F279" s="78" t="s">
        <v>607</v>
      </c>
      <c r="H279" s="37">
        <v>10</v>
      </c>
      <c r="I279" s="45"/>
      <c r="K279" s="28"/>
      <c r="L279" s="39"/>
      <c r="M279" s="4"/>
    </row>
    <row r="280" spans="3:13" ht="16.3" x14ac:dyDescent="0.25">
      <c r="C280" s="115"/>
      <c r="F280" s="78" t="s">
        <v>579</v>
      </c>
      <c r="H280" s="37">
        <v>10</v>
      </c>
      <c r="I280" s="45"/>
      <c r="K280" s="28"/>
      <c r="L280" s="39"/>
      <c r="M280" s="4"/>
    </row>
    <row r="281" spans="3:13" ht="16.3" x14ac:dyDescent="0.25">
      <c r="C281" s="115"/>
      <c r="F281" s="78" t="s">
        <v>285</v>
      </c>
      <c r="H281" s="37">
        <v>10</v>
      </c>
      <c r="I281" s="45"/>
      <c r="K281" s="28"/>
      <c r="L281" s="39"/>
      <c r="M281" s="4"/>
    </row>
    <row r="282" spans="3:13" ht="17" thickBot="1" x14ac:dyDescent="0.3">
      <c r="C282" s="116"/>
      <c r="F282" s="117" t="s">
        <v>597</v>
      </c>
      <c r="H282" s="38">
        <v>1</v>
      </c>
      <c r="I282" s="45"/>
      <c r="K282" s="29"/>
      <c r="L282" s="39"/>
      <c r="M282" s="4"/>
    </row>
    <row r="283" spans="3:13" ht="16.3" x14ac:dyDescent="0.25">
      <c r="C283" s="113" t="s">
        <v>491</v>
      </c>
      <c r="F283" s="114" t="s">
        <v>147</v>
      </c>
      <c r="H283" s="36">
        <v>2</v>
      </c>
      <c r="I283" s="45"/>
      <c r="K283" s="26" t="s">
        <v>422</v>
      </c>
      <c r="L283" s="39"/>
      <c r="M283" s="4"/>
    </row>
    <row r="284" spans="3:13" ht="16.3" x14ac:dyDescent="0.25">
      <c r="C284" s="115"/>
      <c r="F284" s="78" t="s">
        <v>597</v>
      </c>
      <c r="H284" s="37" t="s">
        <v>608</v>
      </c>
      <c r="I284" s="45"/>
      <c r="K284" s="28"/>
      <c r="L284" s="39"/>
      <c r="M284" s="4"/>
    </row>
    <row r="285" spans="3:13" ht="16.3" x14ac:dyDescent="0.25">
      <c r="C285" s="115"/>
      <c r="F285" s="78" t="s">
        <v>492</v>
      </c>
      <c r="H285" s="37">
        <v>20</v>
      </c>
      <c r="I285" s="45"/>
      <c r="K285" s="28"/>
      <c r="L285" s="39"/>
      <c r="M285" s="4"/>
    </row>
    <row r="286" spans="3:13" ht="16.3" x14ac:dyDescent="0.25">
      <c r="C286" s="115"/>
      <c r="F286" s="78" t="s">
        <v>423</v>
      </c>
      <c r="H286" s="37">
        <v>20</v>
      </c>
      <c r="I286" s="45"/>
      <c r="K286" s="28"/>
      <c r="L286" s="39"/>
      <c r="M286" s="4"/>
    </row>
    <row r="287" spans="3:13" ht="16.3" x14ac:dyDescent="0.25">
      <c r="C287" s="115"/>
      <c r="F287" s="78" t="s">
        <v>493</v>
      </c>
      <c r="H287" s="37">
        <v>20</v>
      </c>
      <c r="I287" s="45"/>
      <c r="K287" s="28"/>
      <c r="L287" s="39"/>
      <c r="M287" s="4"/>
    </row>
    <row r="288" spans="3:13" ht="16.3" x14ac:dyDescent="0.25">
      <c r="C288" s="115"/>
      <c r="F288" s="78" t="s">
        <v>423</v>
      </c>
      <c r="H288" s="37">
        <v>20</v>
      </c>
      <c r="I288" s="45"/>
      <c r="K288" s="28"/>
      <c r="L288" s="39"/>
      <c r="M288" s="4"/>
    </row>
    <row r="289" spans="3:13" ht="16.3" x14ac:dyDescent="0.25">
      <c r="C289" s="115"/>
      <c r="F289" s="78" t="s">
        <v>492</v>
      </c>
      <c r="H289" s="37">
        <v>20</v>
      </c>
      <c r="I289" s="45"/>
      <c r="K289" s="28"/>
      <c r="L289" s="39"/>
      <c r="M289" s="4"/>
    </row>
    <row r="290" spans="3:13" ht="16.3" x14ac:dyDescent="0.25">
      <c r="C290" s="115"/>
      <c r="F290" s="78" t="s">
        <v>597</v>
      </c>
      <c r="H290" s="37" t="s">
        <v>608</v>
      </c>
      <c r="I290" s="45"/>
      <c r="K290" s="28"/>
      <c r="L290" s="39"/>
      <c r="M290" s="4"/>
    </row>
    <row r="291" spans="3:13" ht="17" thickBot="1" x14ac:dyDescent="0.3">
      <c r="C291" s="116"/>
      <c r="F291" s="117" t="s">
        <v>147</v>
      </c>
      <c r="H291" s="38">
        <v>2</v>
      </c>
      <c r="I291" s="45"/>
      <c r="K291" s="29"/>
      <c r="L291" s="39"/>
      <c r="M291" s="4"/>
    </row>
    <row r="292" spans="3:13" ht="16.3" x14ac:dyDescent="0.25">
      <c r="C292" s="115" t="s">
        <v>494</v>
      </c>
      <c r="F292" s="78" t="s">
        <v>39</v>
      </c>
      <c r="H292" s="37">
        <v>10</v>
      </c>
      <c r="I292" s="45"/>
      <c r="K292" s="28" t="s">
        <v>2</v>
      </c>
      <c r="L292" s="39" t="e">
        <f>TRIM(RIGHT(F292,LEN(F292)-#REF!+1))</f>
        <v>#REF!</v>
      </c>
      <c r="M292" s="4"/>
    </row>
    <row r="293" spans="3:13" ht="16.3" x14ac:dyDescent="0.25">
      <c r="C293" s="115"/>
      <c r="F293" s="78" t="s">
        <v>609</v>
      </c>
      <c r="H293" s="37">
        <v>5</v>
      </c>
      <c r="I293" s="45"/>
      <c r="K293" s="28"/>
      <c r="L293" s="39" t="e">
        <f>TRIM(RIGHT(F293,LEN(F293)-#REF!+1))</f>
        <v>#REF!</v>
      </c>
      <c r="M293" s="4"/>
    </row>
    <row r="294" spans="3:13" ht="17" thickBot="1" x14ac:dyDescent="0.3">
      <c r="C294" s="116"/>
      <c r="F294" s="117" t="s">
        <v>135</v>
      </c>
      <c r="H294" s="38">
        <v>8</v>
      </c>
      <c r="I294" s="45"/>
      <c r="K294" s="29"/>
      <c r="L294" s="39" t="e">
        <f>TRIM(RIGHT(F294,LEN(F294)-#REF!+1))</f>
        <v>#REF!</v>
      </c>
      <c r="M294" s="4"/>
    </row>
    <row r="295" spans="3:13" x14ac:dyDescent="0.25">
      <c r="C295" s="113" t="s">
        <v>665</v>
      </c>
      <c r="F295" s="114" t="s">
        <v>666</v>
      </c>
      <c r="H295" s="36"/>
      <c r="I295" s="45"/>
      <c r="K295" s="26" t="s">
        <v>429</v>
      </c>
      <c r="L295" s="4"/>
      <c r="M295" s="4"/>
    </row>
    <row r="296" spans="3:13" x14ac:dyDescent="0.25">
      <c r="C296" s="115"/>
      <c r="F296" s="18" t="s">
        <v>667</v>
      </c>
      <c r="K296" s="28"/>
      <c r="L296" s="4"/>
      <c r="M296" s="4"/>
    </row>
    <row r="297" spans="3:13" ht="14.95" thickBot="1" x14ac:dyDescent="0.3">
      <c r="C297" s="116"/>
      <c r="F297" s="117" t="s">
        <v>668</v>
      </c>
      <c r="H297" s="38"/>
      <c r="I297" s="45"/>
      <c r="K297" s="29"/>
      <c r="L297" s="4"/>
      <c r="M297" s="4"/>
    </row>
    <row r="298" spans="3:13" x14ac:dyDescent="0.25">
      <c r="C298" s="113" t="s">
        <v>669</v>
      </c>
      <c r="F298" s="114" t="s">
        <v>670</v>
      </c>
      <c r="H298" s="36"/>
      <c r="I298" s="45"/>
      <c r="K298" s="26" t="s">
        <v>413</v>
      </c>
      <c r="L298" s="4"/>
      <c r="M298" s="4"/>
    </row>
    <row r="299" spans="3:13" x14ac:dyDescent="0.25">
      <c r="C299" s="115"/>
      <c r="F299" s="18" t="s">
        <v>671</v>
      </c>
      <c r="K299" s="28"/>
      <c r="L299" s="4"/>
      <c r="M299" s="4"/>
    </row>
    <row r="300" spans="3:13" x14ac:dyDescent="0.25">
      <c r="C300" s="115"/>
      <c r="F300" s="18" t="s">
        <v>672</v>
      </c>
      <c r="K300" s="28"/>
      <c r="L300" s="4"/>
      <c r="M300" s="4"/>
    </row>
    <row r="301" spans="3:13" ht="14.95" thickBot="1" x14ac:dyDescent="0.3">
      <c r="C301" s="116"/>
      <c r="F301" s="117" t="s">
        <v>673</v>
      </c>
      <c r="H301" s="38"/>
      <c r="I301" s="45"/>
      <c r="K301" s="29"/>
      <c r="L301" s="4"/>
      <c r="M301" s="4"/>
    </row>
    <row r="302" spans="3:13" x14ac:dyDescent="0.25">
      <c r="C302" s="113" t="s">
        <v>674</v>
      </c>
      <c r="F302" s="114" t="s">
        <v>675</v>
      </c>
      <c r="H302" s="36"/>
      <c r="I302" s="45"/>
      <c r="K302" s="26" t="s">
        <v>676</v>
      </c>
      <c r="L302" s="4"/>
      <c r="M302" s="4"/>
    </row>
    <row r="303" spans="3:13" x14ac:dyDescent="0.25">
      <c r="C303" s="115"/>
      <c r="F303" s="18" t="s">
        <v>677</v>
      </c>
      <c r="K303" s="28"/>
      <c r="L303" s="4"/>
      <c r="M303" s="4"/>
    </row>
    <row r="304" spans="3:13" ht="14.95" thickBot="1" x14ac:dyDescent="0.3">
      <c r="C304" s="116"/>
      <c r="F304" s="117" t="s">
        <v>678</v>
      </c>
      <c r="H304" s="38"/>
      <c r="I304" s="45"/>
      <c r="K304" s="29"/>
      <c r="L304" s="4"/>
      <c r="M304" s="4"/>
    </row>
    <row r="305" spans="3:13" x14ac:dyDescent="0.25">
      <c r="C305" s="113" t="s">
        <v>679</v>
      </c>
      <c r="F305" s="114" t="s">
        <v>680</v>
      </c>
      <c r="H305" s="36"/>
      <c r="I305" s="45"/>
      <c r="K305" s="26" t="s">
        <v>681</v>
      </c>
      <c r="L305" s="4"/>
      <c r="M305" s="4"/>
    </row>
    <row r="306" spans="3:13" x14ac:dyDescent="0.25">
      <c r="C306" s="115"/>
      <c r="F306" s="18" t="s">
        <v>682</v>
      </c>
      <c r="K306" s="28"/>
      <c r="L306" s="4"/>
      <c r="M306" s="4"/>
    </row>
    <row r="307" spans="3:13" ht="14.95" thickBot="1" x14ac:dyDescent="0.3">
      <c r="C307" s="116"/>
      <c r="F307" s="117" t="s">
        <v>683</v>
      </c>
      <c r="H307" s="38"/>
      <c r="I307" s="45"/>
      <c r="K307" s="29"/>
      <c r="L307" s="4"/>
      <c r="M307" s="4"/>
    </row>
    <row r="308" spans="3:13" x14ac:dyDescent="0.25">
      <c r="C308" s="113" t="s">
        <v>684</v>
      </c>
      <c r="F308" s="114" t="s">
        <v>685</v>
      </c>
      <c r="H308" s="36"/>
      <c r="I308" s="45"/>
      <c r="K308" s="26" t="s">
        <v>455</v>
      </c>
      <c r="L308" s="4"/>
      <c r="M308" s="4"/>
    </row>
    <row r="309" spans="3:13" x14ac:dyDescent="0.25">
      <c r="C309" s="115"/>
      <c r="F309" s="18" t="s">
        <v>686</v>
      </c>
      <c r="K309" s="28"/>
      <c r="L309" s="4"/>
      <c r="M309" s="4"/>
    </row>
    <row r="310" spans="3:13" ht="14.95" thickBot="1" x14ac:dyDescent="0.3">
      <c r="C310" s="116"/>
      <c r="F310" s="117" t="s">
        <v>687</v>
      </c>
      <c r="H310" s="38"/>
      <c r="I310" s="45"/>
      <c r="K310" s="29"/>
      <c r="L310" s="4"/>
      <c r="M310" s="4"/>
    </row>
    <row r="311" spans="3:13" x14ac:dyDescent="0.25">
      <c r="C311" s="113" t="s">
        <v>688</v>
      </c>
      <c r="F311" s="114" t="s">
        <v>689</v>
      </c>
      <c r="H311" s="36"/>
      <c r="I311" s="45"/>
      <c r="K311" s="26" t="s">
        <v>422</v>
      </c>
      <c r="L311" s="4"/>
      <c r="M311" s="4"/>
    </row>
    <row r="312" spans="3:13" x14ac:dyDescent="0.25">
      <c r="C312" s="115"/>
      <c r="F312" s="18" t="s">
        <v>690</v>
      </c>
      <c r="K312" s="28"/>
      <c r="L312" s="4"/>
      <c r="M312" s="4"/>
    </row>
    <row r="313" spans="3:13" x14ac:dyDescent="0.25">
      <c r="C313" s="115"/>
      <c r="F313" s="18" t="s">
        <v>691</v>
      </c>
      <c r="K313" s="28"/>
      <c r="L313" s="4"/>
      <c r="M313" s="4"/>
    </row>
    <row r="314" spans="3:13" x14ac:dyDescent="0.25">
      <c r="C314" s="115"/>
      <c r="F314" s="18" t="s">
        <v>692</v>
      </c>
      <c r="K314" s="28"/>
      <c r="L314" s="4"/>
      <c r="M314" s="4"/>
    </row>
    <row r="315" spans="3:13" x14ac:dyDescent="0.25">
      <c r="C315" s="115"/>
      <c r="F315" s="18" t="s">
        <v>693</v>
      </c>
      <c r="K315" s="28"/>
      <c r="L315" s="4"/>
      <c r="M315" s="4"/>
    </row>
    <row r="316" spans="3:13" x14ac:dyDescent="0.25">
      <c r="C316" s="115"/>
      <c r="F316" s="18" t="s">
        <v>692</v>
      </c>
      <c r="K316" s="28"/>
      <c r="L316" s="4"/>
      <c r="M316" s="4"/>
    </row>
    <row r="317" spans="3:13" x14ac:dyDescent="0.25">
      <c r="C317" s="115"/>
      <c r="F317" s="18" t="s">
        <v>694</v>
      </c>
      <c r="K317" s="28"/>
      <c r="L317" s="4"/>
      <c r="M317" s="4"/>
    </row>
    <row r="318" spans="3:13" x14ac:dyDescent="0.25">
      <c r="C318" s="115"/>
      <c r="F318" s="18" t="s">
        <v>692</v>
      </c>
      <c r="K318" s="28"/>
      <c r="L318" s="4"/>
      <c r="M318" s="4"/>
    </row>
    <row r="319" spans="3:13" ht="14.95" thickBot="1" x14ac:dyDescent="0.3">
      <c r="C319" s="116"/>
      <c r="F319" s="117" t="s">
        <v>689</v>
      </c>
      <c r="H319" s="38"/>
      <c r="I319" s="45"/>
      <c r="K319" s="29"/>
      <c r="L319" s="4"/>
      <c r="M319" s="4"/>
    </row>
    <row r="320" spans="3:13" x14ac:dyDescent="0.25">
      <c r="C320" s="113" t="s">
        <v>695</v>
      </c>
      <c r="F320" s="114" t="s">
        <v>696</v>
      </c>
      <c r="H320" s="36"/>
      <c r="I320" s="45"/>
      <c r="K320" s="26" t="s">
        <v>429</v>
      </c>
      <c r="L320" s="4"/>
      <c r="M320" s="4"/>
    </row>
    <row r="321" spans="3:13" x14ac:dyDescent="0.25">
      <c r="C321" s="115"/>
      <c r="F321" s="18" t="s">
        <v>697</v>
      </c>
      <c r="K321" s="28"/>
      <c r="L321" s="4"/>
      <c r="M321" s="4"/>
    </row>
    <row r="322" spans="3:13" x14ac:dyDescent="0.25">
      <c r="C322" s="115"/>
      <c r="F322" s="18" t="s">
        <v>698</v>
      </c>
      <c r="K322" s="28"/>
      <c r="L322" s="4"/>
      <c r="M322" s="4"/>
    </row>
    <row r="323" spans="3:13" x14ac:dyDescent="0.25">
      <c r="C323" s="115"/>
      <c r="F323" s="18" t="s">
        <v>699</v>
      </c>
      <c r="K323" s="28"/>
      <c r="L323" s="4"/>
      <c r="M323" s="4"/>
    </row>
    <row r="324" spans="3:13" x14ac:dyDescent="0.25">
      <c r="C324" s="115"/>
      <c r="F324" s="18" t="s">
        <v>700</v>
      </c>
      <c r="K324" s="28"/>
      <c r="L324" s="4"/>
      <c r="M324" s="4"/>
    </row>
    <row r="325" spans="3:13" ht="14.95" thickBot="1" x14ac:dyDescent="0.3">
      <c r="C325" s="116"/>
      <c r="F325" s="117" t="s">
        <v>701</v>
      </c>
      <c r="H325" s="38"/>
      <c r="I325" s="45"/>
      <c r="K325" s="29"/>
      <c r="L325" s="4"/>
      <c r="M325" s="4"/>
    </row>
    <row r="326" spans="3:13" x14ac:dyDescent="0.25">
      <c r="C326" s="113" t="s">
        <v>702</v>
      </c>
      <c r="F326" s="114" t="s">
        <v>703</v>
      </c>
      <c r="H326" s="36"/>
      <c r="I326" s="45"/>
      <c r="K326" s="26" t="s">
        <v>422</v>
      </c>
      <c r="L326" s="4"/>
      <c r="M326" s="4"/>
    </row>
    <row r="327" spans="3:13" x14ac:dyDescent="0.25">
      <c r="C327" s="115"/>
      <c r="F327" s="18" t="s">
        <v>704</v>
      </c>
      <c r="K327" s="28"/>
      <c r="L327" s="4"/>
      <c r="M327" s="4"/>
    </row>
    <row r="328" spans="3:13" x14ac:dyDescent="0.25">
      <c r="C328" s="115"/>
      <c r="F328" s="18" t="s">
        <v>705</v>
      </c>
      <c r="K328" s="28"/>
      <c r="L328" s="4"/>
      <c r="M328" s="4"/>
    </row>
    <row r="329" spans="3:13" x14ac:dyDescent="0.25">
      <c r="C329" s="115"/>
      <c r="F329" s="18" t="s">
        <v>706</v>
      </c>
      <c r="K329" s="28"/>
      <c r="L329" s="4"/>
      <c r="M329" s="4"/>
    </row>
    <row r="330" spans="3:13" x14ac:dyDescent="0.25">
      <c r="C330" s="115"/>
      <c r="F330" s="18" t="s">
        <v>707</v>
      </c>
      <c r="K330" s="28"/>
      <c r="L330" s="4"/>
      <c r="M330" s="4"/>
    </row>
    <row r="331" spans="3:13" x14ac:dyDescent="0.25">
      <c r="C331" s="115"/>
      <c r="F331" s="18" t="s">
        <v>708</v>
      </c>
      <c r="K331" s="28"/>
      <c r="L331" s="4"/>
      <c r="M331" s="4"/>
    </row>
    <row r="332" spans="3:13" x14ac:dyDescent="0.25">
      <c r="C332" s="115"/>
      <c r="F332" s="18" t="s">
        <v>709</v>
      </c>
      <c r="K332" s="28"/>
      <c r="L332" s="4"/>
      <c r="M332" s="4"/>
    </row>
    <row r="333" spans="3:13" x14ac:dyDescent="0.25">
      <c r="C333" s="115"/>
      <c r="F333" s="18" t="s">
        <v>710</v>
      </c>
      <c r="K333" s="28"/>
      <c r="L333" s="4"/>
      <c r="M333" s="4"/>
    </row>
    <row r="334" spans="3:13" x14ac:dyDescent="0.25">
      <c r="C334" s="115"/>
      <c r="F334" s="18" t="s">
        <v>711</v>
      </c>
      <c r="K334" s="28"/>
      <c r="L334" s="4"/>
      <c r="M334" s="4"/>
    </row>
    <row r="335" spans="3:13" x14ac:dyDescent="0.25">
      <c r="C335" s="115"/>
      <c r="F335" s="18" t="s">
        <v>712</v>
      </c>
      <c r="K335" s="28"/>
      <c r="L335" s="4"/>
      <c r="M335" s="4"/>
    </row>
    <row r="336" spans="3:13" x14ac:dyDescent="0.25">
      <c r="C336" s="115"/>
      <c r="F336" s="18" t="s">
        <v>713</v>
      </c>
      <c r="K336" s="28"/>
      <c r="L336" s="4"/>
      <c r="M336" s="4"/>
    </row>
    <row r="337" spans="3:13" x14ac:dyDescent="0.25">
      <c r="C337" s="115"/>
      <c r="F337" s="18" t="s">
        <v>714</v>
      </c>
      <c r="K337" s="28"/>
      <c r="L337" s="4"/>
      <c r="M337" s="4"/>
    </row>
    <row r="338" spans="3:13" x14ac:dyDescent="0.25">
      <c r="C338" s="115"/>
      <c r="F338" s="18" t="s">
        <v>715</v>
      </c>
      <c r="K338" s="28"/>
      <c r="L338" s="4"/>
      <c r="M338" s="4"/>
    </row>
    <row r="339" spans="3:13" x14ac:dyDescent="0.25">
      <c r="C339" s="115"/>
      <c r="F339" s="18" t="s">
        <v>716</v>
      </c>
      <c r="K339" s="28"/>
      <c r="L339" s="4"/>
      <c r="M339" s="4"/>
    </row>
    <row r="340" spans="3:13" x14ac:dyDescent="0.25">
      <c r="C340" s="115"/>
      <c r="F340" s="18" t="s">
        <v>717</v>
      </c>
      <c r="K340" s="28"/>
      <c r="L340" s="4"/>
      <c r="M340" s="4"/>
    </row>
    <row r="341" spans="3:13" x14ac:dyDescent="0.25">
      <c r="C341" s="115"/>
      <c r="F341" s="18" t="s">
        <v>718</v>
      </c>
      <c r="K341" s="28"/>
      <c r="L341" s="4"/>
      <c r="M341" s="4"/>
    </row>
    <row r="342" spans="3:13" x14ac:dyDescent="0.25">
      <c r="C342" s="115"/>
      <c r="F342" s="18" t="s">
        <v>719</v>
      </c>
      <c r="K342" s="28"/>
      <c r="L342" s="4"/>
      <c r="M342" s="4"/>
    </row>
    <row r="343" spans="3:13" x14ac:dyDescent="0.25">
      <c r="C343" s="115"/>
      <c r="F343" s="18" t="s">
        <v>720</v>
      </c>
      <c r="K343" s="28"/>
      <c r="L343" s="4"/>
      <c r="M343" s="4"/>
    </row>
    <row r="344" spans="3:13" x14ac:dyDescent="0.25">
      <c r="C344" s="115"/>
      <c r="F344" s="18" t="s">
        <v>721</v>
      </c>
      <c r="K344" s="28"/>
      <c r="L344" s="4"/>
      <c r="M344" s="4"/>
    </row>
    <row r="345" spans="3:13" ht="14.95" thickBot="1" x14ac:dyDescent="0.3">
      <c r="C345" s="116"/>
      <c r="F345" s="117" t="s">
        <v>722</v>
      </c>
      <c r="H345" s="38"/>
      <c r="I345" s="45"/>
      <c r="K345" s="29"/>
      <c r="L345" s="4"/>
      <c r="M345" s="4"/>
    </row>
    <row r="346" spans="3:13" x14ac:dyDescent="0.25">
      <c r="C346" s="113" t="s">
        <v>723</v>
      </c>
      <c r="F346" s="114" t="s">
        <v>410</v>
      </c>
      <c r="H346" s="36"/>
      <c r="I346" s="45"/>
      <c r="K346" s="26" t="s">
        <v>422</v>
      </c>
      <c r="L346" s="4"/>
      <c r="M346" s="4"/>
    </row>
    <row r="347" spans="3:13" x14ac:dyDescent="0.25">
      <c r="C347" s="115"/>
      <c r="F347" s="18" t="s">
        <v>724</v>
      </c>
      <c r="K347" s="28"/>
      <c r="L347" s="4"/>
      <c r="M347" s="4"/>
    </row>
    <row r="348" spans="3:13" x14ac:dyDescent="0.25">
      <c r="C348" s="115"/>
      <c r="F348" s="18" t="s">
        <v>725</v>
      </c>
      <c r="K348" s="28"/>
      <c r="L348" s="4"/>
      <c r="M348" s="4"/>
    </row>
    <row r="349" spans="3:13" x14ac:dyDescent="0.25">
      <c r="C349" s="115"/>
      <c r="F349" s="18" t="s">
        <v>726</v>
      </c>
      <c r="K349" s="28"/>
      <c r="L349" s="4"/>
      <c r="M349" s="4"/>
    </row>
    <row r="350" spans="3:13" x14ac:dyDescent="0.25">
      <c r="C350" s="115"/>
      <c r="F350" s="18" t="s">
        <v>727</v>
      </c>
      <c r="K350" s="28"/>
      <c r="L350" s="4"/>
      <c r="M350" s="4"/>
    </row>
    <row r="351" spans="3:13" x14ac:dyDescent="0.25">
      <c r="C351" s="115"/>
      <c r="F351" s="18" t="s">
        <v>726</v>
      </c>
      <c r="K351" s="28"/>
      <c r="L351" s="4"/>
      <c r="M351" s="4"/>
    </row>
    <row r="352" spans="3:13" x14ac:dyDescent="0.25">
      <c r="C352" s="115"/>
      <c r="F352" s="18" t="s">
        <v>724</v>
      </c>
      <c r="K352" s="28"/>
      <c r="L352" s="4"/>
      <c r="M352" s="4"/>
    </row>
    <row r="353" spans="3:13" ht="14.95" thickBot="1" x14ac:dyDescent="0.3">
      <c r="C353" s="116"/>
      <c r="F353" s="117" t="s">
        <v>410</v>
      </c>
      <c r="H353" s="38"/>
      <c r="I353" s="45"/>
      <c r="K353" s="29"/>
      <c r="L353" s="4"/>
      <c r="M353" s="4"/>
    </row>
    <row r="354" spans="3:13" x14ac:dyDescent="0.25">
      <c r="C354" s="113" t="s">
        <v>728</v>
      </c>
      <c r="F354" s="114" t="s">
        <v>729</v>
      </c>
      <c r="H354" s="36"/>
      <c r="I354" s="45"/>
      <c r="K354" s="26" t="s">
        <v>429</v>
      </c>
      <c r="L354" s="4"/>
      <c r="M354" s="4"/>
    </row>
    <row r="355" spans="3:13" ht="14.95" thickBot="1" x14ac:dyDescent="0.3">
      <c r="C355" s="116"/>
      <c r="F355" s="117" t="s">
        <v>730</v>
      </c>
      <c r="H355" s="38"/>
      <c r="I355" s="45"/>
      <c r="K355" s="29"/>
      <c r="L355" s="4"/>
      <c r="M355" s="4"/>
    </row>
    <row r="356" spans="3:13" x14ac:dyDescent="0.25">
      <c r="C356" s="113" t="s">
        <v>731</v>
      </c>
      <c r="F356" s="114" t="s">
        <v>732</v>
      </c>
      <c r="H356" s="36"/>
      <c r="I356" s="45"/>
      <c r="K356" s="26" t="s">
        <v>733</v>
      </c>
      <c r="L356" s="4"/>
      <c r="M356" s="4"/>
    </row>
    <row r="357" spans="3:13" ht="14.95" thickBot="1" x14ac:dyDescent="0.3">
      <c r="C357" s="116"/>
      <c r="F357" s="117" t="s">
        <v>734</v>
      </c>
      <c r="H357" s="38"/>
      <c r="I357" s="45"/>
      <c r="K357" s="29"/>
      <c r="L357" s="4"/>
      <c r="M357" s="4"/>
    </row>
    <row r="358" spans="3:13" x14ac:dyDescent="0.25">
      <c r="C358" s="113" t="s">
        <v>735</v>
      </c>
      <c r="F358" s="114" t="s">
        <v>736</v>
      </c>
      <c r="H358" s="36"/>
      <c r="I358" s="45"/>
      <c r="K358" s="26" t="s">
        <v>478</v>
      </c>
      <c r="L358" s="4"/>
      <c r="M358" s="4"/>
    </row>
    <row r="359" spans="3:13" x14ac:dyDescent="0.25">
      <c r="C359" s="115"/>
      <c r="F359" s="18" t="s">
        <v>737</v>
      </c>
      <c r="K359" s="28"/>
      <c r="L359" s="4"/>
      <c r="M359" s="4"/>
    </row>
    <row r="360" spans="3:13" x14ac:dyDescent="0.25">
      <c r="C360" s="115"/>
      <c r="F360" s="18" t="s">
        <v>738</v>
      </c>
      <c r="K360" s="28"/>
      <c r="L360" s="4"/>
      <c r="M360" s="4"/>
    </row>
    <row r="361" spans="3:13" ht="14.95" thickBot="1" x14ac:dyDescent="0.3">
      <c r="C361" s="116"/>
      <c r="F361" s="117" t="s">
        <v>739</v>
      </c>
      <c r="H361" s="38"/>
      <c r="I361" s="45"/>
      <c r="K361" s="29"/>
      <c r="L361" s="4"/>
      <c r="M361" s="4"/>
    </row>
    <row r="362" spans="3:13" x14ac:dyDescent="0.25">
      <c r="C362" s="113" t="s">
        <v>740</v>
      </c>
      <c r="F362" s="114" t="s">
        <v>741</v>
      </c>
      <c r="H362" s="36"/>
      <c r="I362" s="45"/>
      <c r="K362" s="26" t="s">
        <v>742</v>
      </c>
      <c r="L362" s="4"/>
      <c r="M362" s="4"/>
    </row>
    <row r="363" spans="3:13" ht="14.95" thickBot="1" x14ac:dyDescent="0.3">
      <c r="C363" s="116"/>
      <c r="F363" s="117" t="s">
        <v>743</v>
      </c>
      <c r="H363" s="38"/>
      <c r="I363" s="45"/>
      <c r="K363" s="29"/>
      <c r="L363" s="4"/>
      <c r="M363" s="4"/>
    </row>
    <row r="364" spans="3:13" x14ac:dyDescent="0.25">
      <c r="C364" s="113" t="s">
        <v>744</v>
      </c>
      <c r="F364" s="114" t="s">
        <v>715</v>
      </c>
      <c r="H364" s="36"/>
      <c r="I364" s="45"/>
      <c r="K364" s="26" t="s">
        <v>745</v>
      </c>
      <c r="L364" s="4"/>
      <c r="M364" s="4"/>
    </row>
    <row r="365" spans="3:13" ht="14.95" thickBot="1" x14ac:dyDescent="0.3">
      <c r="C365" s="116"/>
      <c r="F365" s="117" t="s">
        <v>746</v>
      </c>
      <c r="H365" s="38"/>
      <c r="I365" s="45"/>
      <c r="K365" s="29"/>
      <c r="L365" s="4"/>
      <c r="M365" s="4"/>
    </row>
    <row r="366" spans="3:13" x14ac:dyDescent="0.25">
      <c r="C366" s="113" t="s">
        <v>747</v>
      </c>
      <c r="F366" s="114" t="s">
        <v>410</v>
      </c>
      <c r="H366" s="36"/>
      <c r="I366" s="45"/>
      <c r="K366" s="26" t="s">
        <v>748</v>
      </c>
      <c r="L366" s="4"/>
      <c r="M366" s="4"/>
    </row>
    <row r="367" spans="3:13" x14ac:dyDescent="0.25">
      <c r="C367" s="115"/>
      <c r="F367" s="18" t="s">
        <v>749</v>
      </c>
      <c r="K367" s="28"/>
      <c r="L367" s="4"/>
      <c r="M367" s="4"/>
    </row>
    <row r="368" spans="3:13" ht="14.95" thickBot="1" x14ac:dyDescent="0.3">
      <c r="C368" s="116"/>
      <c r="F368" s="117" t="s">
        <v>750</v>
      </c>
      <c r="H368" s="38"/>
      <c r="I368" s="45"/>
      <c r="K368" s="29"/>
      <c r="L368" s="4"/>
      <c r="M368" s="4"/>
    </row>
    <row r="369" spans="3:13" x14ac:dyDescent="0.25">
      <c r="C369" s="113" t="s">
        <v>751</v>
      </c>
      <c r="F369" s="114" t="s">
        <v>752</v>
      </c>
      <c r="H369" s="36"/>
      <c r="I369" s="45"/>
      <c r="K369" s="26" t="s">
        <v>455</v>
      </c>
      <c r="L369" s="4"/>
      <c r="M369" s="4"/>
    </row>
    <row r="370" spans="3:13" ht="14.95" thickBot="1" x14ac:dyDescent="0.3">
      <c r="C370" s="116"/>
      <c r="F370" s="117" t="s">
        <v>753</v>
      </c>
      <c r="H370" s="38"/>
      <c r="I370" s="45"/>
      <c r="K370" s="29"/>
      <c r="L370" s="4"/>
      <c r="M370" s="4"/>
    </row>
    <row r="371" spans="3:13" x14ac:dyDescent="0.25">
      <c r="C371" s="113" t="s">
        <v>754</v>
      </c>
      <c r="F371" s="114" t="s">
        <v>755</v>
      </c>
      <c r="H371" s="36"/>
      <c r="I371" s="45"/>
      <c r="K371" s="26" t="s">
        <v>756</v>
      </c>
      <c r="L371" s="4"/>
      <c r="M371" s="4"/>
    </row>
    <row r="372" spans="3:13" x14ac:dyDescent="0.25">
      <c r="C372" s="115"/>
      <c r="F372" s="18" t="s">
        <v>757</v>
      </c>
      <c r="K372" s="28"/>
      <c r="L372" s="4"/>
      <c r="M372" s="4"/>
    </row>
    <row r="373" spans="3:13" ht="14.95" thickBot="1" x14ac:dyDescent="0.3">
      <c r="C373" s="116"/>
      <c r="F373" s="117" t="s">
        <v>758</v>
      </c>
      <c r="H373" s="38"/>
      <c r="I373" s="45"/>
      <c r="K373" s="29"/>
      <c r="L373" s="4"/>
      <c r="M373" s="4"/>
    </row>
    <row r="374" spans="3:13" x14ac:dyDescent="0.25">
      <c r="C374" s="113" t="s">
        <v>759</v>
      </c>
      <c r="F374" s="114" t="s">
        <v>760</v>
      </c>
      <c r="H374" s="36"/>
      <c r="I374" s="45"/>
      <c r="K374" s="26" t="s">
        <v>439</v>
      </c>
      <c r="L374" s="4"/>
      <c r="M374" s="4"/>
    </row>
    <row r="375" spans="3:13" x14ac:dyDescent="0.25">
      <c r="C375" s="115"/>
      <c r="F375" s="18" t="s">
        <v>761</v>
      </c>
      <c r="K375" s="28"/>
      <c r="L375" s="4"/>
      <c r="M375" s="4"/>
    </row>
    <row r="376" spans="3:13" x14ac:dyDescent="0.25">
      <c r="C376" s="115"/>
      <c r="F376" s="18" t="s">
        <v>762</v>
      </c>
      <c r="K376" s="28"/>
      <c r="L376" s="4"/>
      <c r="M376" s="4"/>
    </row>
    <row r="377" spans="3:13" ht="14.95" thickBot="1" x14ac:dyDescent="0.3">
      <c r="C377" s="116"/>
      <c r="F377" s="117" t="s">
        <v>763</v>
      </c>
      <c r="H377" s="38"/>
      <c r="I377" s="45"/>
      <c r="K377" s="29"/>
      <c r="L377" s="4"/>
      <c r="M377" s="4"/>
    </row>
    <row r="378" spans="3:13" x14ac:dyDescent="0.25">
      <c r="C378" s="113" t="s">
        <v>764</v>
      </c>
      <c r="F378" s="114" t="s">
        <v>765</v>
      </c>
      <c r="H378" s="36"/>
      <c r="I378" s="45"/>
      <c r="K378" s="26" t="s">
        <v>422</v>
      </c>
      <c r="L378" s="4"/>
      <c r="M378" s="4"/>
    </row>
    <row r="379" spans="3:13" x14ac:dyDescent="0.25">
      <c r="C379" s="115"/>
      <c r="F379" s="18" t="s">
        <v>435</v>
      </c>
      <c r="K379" s="28"/>
      <c r="L379" s="4"/>
      <c r="M379" s="4"/>
    </row>
    <row r="380" spans="3:13" x14ac:dyDescent="0.25">
      <c r="C380" s="115"/>
      <c r="F380" s="18" t="s">
        <v>766</v>
      </c>
      <c r="K380" s="28"/>
      <c r="L380" s="4"/>
      <c r="M380" s="4"/>
    </row>
    <row r="381" spans="3:13" x14ac:dyDescent="0.25">
      <c r="C381" s="115"/>
      <c r="F381" s="18" t="s">
        <v>435</v>
      </c>
      <c r="K381" s="28"/>
      <c r="L381" s="4"/>
      <c r="M381" s="4"/>
    </row>
    <row r="382" spans="3:13" ht="14.95" thickBot="1" x14ac:dyDescent="0.3">
      <c r="C382" s="116"/>
      <c r="F382" s="117" t="s">
        <v>767</v>
      </c>
      <c r="H382" s="38"/>
      <c r="I382" s="45"/>
      <c r="K382" s="29"/>
      <c r="L382" s="4"/>
      <c r="M382" s="4"/>
    </row>
    <row r="383" spans="3:13" x14ac:dyDescent="0.25">
      <c r="C383" s="113" t="s">
        <v>768</v>
      </c>
      <c r="F383" s="114" t="s">
        <v>769</v>
      </c>
      <c r="H383" s="36"/>
      <c r="I383" s="45"/>
      <c r="K383" s="26" t="s">
        <v>681</v>
      </c>
      <c r="L383" s="4"/>
      <c r="M383" s="4"/>
    </row>
    <row r="384" spans="3:13" x14ac:dyDescent="0.25">
      <c r="C384" s="115"/>
      <c r="F384" s="18" t="s">
        <v>770</v>
      </c>
      <c r="K384" s="28"/>
      <c r="L384" s="4"/>
      <c r="M384" s="4"/>
    </row>
    <row r="385" spans="3:13" ht="14.95" thickBot="1" x14ac:dyDescent="0.3">
      <c r="C385" s="116"/>
      <c r="F385" s="117" t="s">
        <v>771</v>
      </c>
      <c r="H385" s="38"/>
      <c r="I385" s="45"/>
      <c r="K385" s="29"/>
      <c r="L385" s="4"/>
      <c r="M385" s="4"/>
    </row>
    <row r="386" spans="3:13" x14ac:dyDescent="0.25">
      <c r="C386" s="113" t="s">
        <v>772</v>
      </c>
      <c r="F386" s="114" t="s">
        <v>773</v>
      </c>
      <c r="H386" s="36"/>
      <c r="I386" s="45"/>
      <c r="K386" s="26" t="s">
        <v>455</v>
      </c>
      <c r="L386" s="4"/>
      <c r="M386" s="4"/>
    </row>
    <row r="387" spans="3:13" x14ac:dyDescent="0.25">
      <c r="C387" s="115"/>
      <c r="F387" s="18" t="s">
        <v>774</v>
      </c>
      <c r="K387" s="28"/>
      <c r="L387" s="4"/>
      <c r="M387" s="4"/>
    </row>
    <row r="388" spans="3:13" x14ac:dyDescent="0.25">
      <c r="C388" s="115"/>
      <c r="F388" s="18" t="s">
        <v>775</v>
      </c>
      <c r="K388" s="28"/>
      <c r="L388" s="4"/>
      <c r="M388" s="4"/>
    </row>
    <row r="389" spans="3:13" ht="14.95" thickBot="1" x14ac:dyDescent="0.3">
      <c r="C389" s="116"/>
      <c r="F389" s="117" t="s">
        <v>736</v>
      </c>
      <c r="H389" s="38"/>
      <c r="I389" s="45"/>
      <c r="K389" s="29"/>
      <c r="L389" s="4"/>
      <c r="M389" s="4"/>
    </row>
    <row r="390" spans="3:13" x14ac:dyDescent="0.25">
      <c r="C390" s="113" t="s">
        <v>776</v>
      </c>
      <c r="F390" s="114" t="s">
        <v>777</v>
      </c>
      <c r="H390" s="36"/>
      <c r="I390" s="45"/>
      <c r="K390" s="26" t="s">
        <v>422</v>
      </c>
      <c r="L390" s="4"/>
      <c r="M390" s="4"/>
    </row>
    <row r="391" spans="3:13" ht="14.95" thickBot="1" x14ac:dyDescent="0.3">
      <c r="C391" s="116"/>
      <c r="F391" s="117" t="s">
        <v>778</v>
      </c>
      <c r="H391" s="38"/>
      <c r="I391" s="45"/>
      <c r="K391" s="29"/>
      <c r="L391" s="4"/>
      <c r="M391" s="4"/>
    </row>
    <row r="392" spans="3:13" x14ac:dyDescent="0.25">
      <c r="C392" s="113" t="s">
        <v>779</v>
      </c>
      <c r="F392" s="114" t="s">
        <v>780</v>
      </c>
      <c r="H392" s="36"/>
      <c r="I392" s="45"/>
      <c r="K392" s="26" t="s">
        <v>413</v>
      </c>
      <c r="L392" s="4"/>
      <c r="M392" s="4"/>
    </row>
    <row r="393" spans="3:13" x14ac:dyDescent="0.25">
      <c r="C393" s="115"/>
      <c r="F393" s="18" t="s">
        <v>781</v>
      </c>
      <c r="K393" s="28"/>
      <c r="L393" s="4"/>
      <c r="M393" s="4"/>
    </row>
    <row r="394" spans="3:13" x14ac:dyDescent="0.25">
      <c r="C394" s="115"/>
      <c r="F394" s="18" t="s">
        <v>782</v>
      </c>
      <c r="K394" s="28"/>
      <c r="L394" s="4"/>
      <c r="M394" s="4"/>
    </row>
    <row r="395" spans="3:13" ht="14.95" thickBot="1" x14ac:dyDescent="0.3">
      <c r="C395" s="116"/>
      <c r="F395" s="117" t="s">
        <v>783</v>
      </c>
      <c r="H395" s="38"/>
      <c r="I395" s="45"/>
      <c r="K395" s="29"/>
      <c r="L395" s="4"/>
      <c r="M395" s="4"/>
    </row>
    <row r="396" spans="3:13" x14ac:dyDescent="0.25">
      <c r="C396" s="113" t="s">
        <v>784</v>
      </c>
      <c r="F396" s="114" t="s">
        <v>785</v>
      </c>
      <c r="H396" s="36"/>
      <c r="I396" s="45"/>
      <c r="K396" s="26" t="s">
        <v>458</v>
      </c>
      <c r="L396" s="4"/>
      <c r="M396" s="4"/>
    </row>
    <row r="397" spans="3:13" x14ac:dyDescent="0.25">
      <c r="C397" s="115"/>
      <c r="F397" s="18" t="s">
        <v>786</v>
      </c>
      <c r="K397" s="28"/>
      <c r="L397" s="4"/>
      <c r="M397" s="4"/>
    </row>
    <row r="398" spans="3:13" x14ac:dyDescent="0.25">
      <c r="C398" s="115"/>
      <c r="F398" s="18" t="s">
        <v>787</v>
      </c>
      <c r="K398" s="28"/>
      <c r="L398" s="4"/>
      <c r="M398" s="4"/>
    </row>
    <row r="399" spans="3:13" ht="14.95" thickBot="1" x14ac:dyDescent="0.3">
      <c r="C399" s="116"/>
      <c r="F399" s="117" t="s">
        <v>415</v>
      </c>
      <c r="H399" s="38"/>
      <c r="I399" s="45"/>
      <c r="K399" s="29"/>
      <c r="L399" s="4"/>
      <c r="M399" s="4"/>
    </row>
    <row r="400" spans="3:13" x14ac:dyDescent="0.25">
      <c r="C400" s="113" t="s">
        <v>788</v>
      </c>
      <c r="F400" s="114" t="s">
        <v>680</v>
      </c>
      <c r="H400" s="36"/>
      <c r="I400" s="45"/>
      <c r="K400" s="26" t="s">
        <v>160</v>
      </c>
      <c r="L400" s="4"/>
      <c r="M400" s="4"/>
    </row>
    <row r="401" spans="3:13" ht="14.95" thickBot="1" x14ac:dyDescent="0.3">
      <c r="C401" s="116"/>
      <c r="F401" s="117" t="s">
        <v>789</v>
      </c>
      <c r="H401" s="38"/>
      <c r="I401" s="45"/>
      <c r="K401" s="29"/>
      <c r="L401" s="4"/>
      <c r="M401" s="4"/>
    </row>
    <row r="402" spans="3:13" x14ac:dyDescent="0.25">
      <c r="C402" s="113" t="s">
        <v>790</v>
      </c>
      <c r="F402" s="114" t="s">
        <v>410</v>
      </c>
      <c r="H402" s="36"/>
      <c r="I402" s="45"/>
      <c r="K402" s="26" t="s">
        <v>791</v>
      </c>
      <c r="L402" s="4"/>
      <c r="M402" s="4"/>
    </row>
    <row r="403" spans="3:13" x14ac:dyDescent="0.25">
      <c r="C403" s="115"/>
      <c r="F403" s="18" t="s">
        <v>792</v>
      </c>
      <c r="K403" s="28"/>
      <c r="L403" s="4"/>
      <c r="M403" s="4"/>
    </row>
    <row r="404" spans="3:13" ht="14.95" thickBot="1" x14ac:dyDescent="0.3">
      <c r="C404" s="116"/>
      <c r="F404" s="117" t="s">
        <v>793</v>
      </c>
      <c r="H404" s="38"/>
      <c r="I404" s="45"/>
      <c r="K404" s="29"/>
      <c r="L404" s="4"/>
      <c r="M404" s="4"/>
    </row>
    <row r="405" spans="3:13" x14ac:dyDescent="0.25">
      <c r="C405" s="113" t="s">
        <v>794</v>
      </c>
      <c r="F405" s="114" t="s">
        <v>780</v>
      </c>
      <c r="H405" s="36"/>
      <c r="I405" s="45"/>
      <c r="K405" s="26" t="s">
        <v>429</v>
      </c>
      <c r="L405" s="4"/>
      <c r="M405" s="4"/>
    </row>
    <row r="406" spans="3:13" x14ac:dyDescent="0.25">
      <c r="C406" s="115"/>
      <c r="F406" s="18" t="s">
        <v>795</v>
      </c>
      <c r="K406" s="28"/>
      <c r="L406" s="4"/>
      <c r="M406" s="4"/>
    </row>
    <row r="407" spans="3:13" x14ac:dyDescent="0.25">
      <c r="C407" s="115"/>
      <c r="F407" s="18" t="s">
        <v>796</v>
      </c>
      <c r="K407" s="28"/>
      <c r="L407" s="4"/>
      <c r="M407" s="4"/>
    </row>
    <row r="408" spans="3:13" ht="14.95" thickBot="1" x14ac:dyDescent="0.3">
      <c r="C408" s="116"/>
      <c r="F408" s="117" t="s">
        <v>797</v>
      </c>
      <c r="H408" s="38"/>
      <c r="I408" s="45"/>
      <c r="K408" s="29"/>
      <c r="L408" s="4"/>
      <c r="M408" s="4"/>
    </row>
    <row r="409" spans="3:13" x14ac:dyDescent="0.25">
      <c r="C409" s="113" t="s">
        <v>798</v>
      </c>
      <c r="F409" s="114" t="s">
        <v>799</v>
      </c>
      <c r="H409" s="36"/>
      <c r="I409" s="45"/>
      <c r="K409" s="26" t="s">
        <v>429</v>
      </c>
      <c r="L409" s="4"/>
      <c r="M409" s="4"/>
    </row>
    <row r="410" spans="3:13" x14ac:dyDescent="0.25">
      <c r="C410" s="115"/>
      <c r="F410" s="18" t="s">
        <v>800</v>
      </c>
      <c r="K410" s="28"/>
      <c r="L410" s="4"/>
      <c r="M410" s="4"/>
    </row>
    <row r="411" spans="3:13" x14ac:dyDescent="0.25">
      <c r="C411" s="115"/>
      <c r="F411" s="18" t="s">
        <v>801</v>
      </c>
      <c r="K411" s="28"/>
      <c r="L411" s="4"/>
      <c r="M411" s="4"/>
    </row>
    <row r="412" spans="3:13" x14ac:dyDescent="0.25">
      <c r="C412" s="115"/>
      <c r="F412" s="18" t="s">
        <v>802</v>
      </c>
      <c r="K412" s="28"/>
      <c r="L412" s="4"/>
      <c r="M412" s="4"/>
    </row>
    <row r="413" spans="3:13" x14ac:dyDescent="0.25">
      <c r="C413" s="115"/>
      <c r="F413" s="18" t="s">
        <v>803</v>
      </c>
      <c r="K413" s="28"/>
      <c r="L413" s="4"/>
      <c r="M413" s="4"/>
    </row>
    <row r="414" spans="3:13" x14ac:dyDescent="0.25">
      <c r="C414" s="115"/>
      <c r="F414" s="18" t="s">
        <v>804</v>
      </c>
      <c r="K414" s="28"/>
      <c r="L414" s="4"/>
      <c r="M414" s="4"/>
    </row>
    <row r="415" spans="3:13" ht="14.95" thickBot="1" x14ac:dyDescent="0.3">
      <c r="C415" s="116"/>
      <c r="F415" s="117" t="s">
        <v>805</v>
      </c>
      <c r="H415" s="38"/>
      <c r="I415" s="45"/>
      <c r="K415" s="29"/>
      <c r="L415" s="4"/>
      <c r="M415" s="4"/>
    </row>
    <row r="416" spans="3:13" x14ac:dyDescent="0.25">
      <c r="C416" s="113" t="s">
        <v>806</v>
      </c>
      <c r="F416" s="114" t="s">
        <v>741</v>
      </c>
      <c r="H416" s="36"/>
      <c r="I416" s="45"/>
      <c r="K416" s="26" t="s">
        <v>807</v>
      </c>
      <c r="L416" s="4"/>
      <c r="M416" s="4"/>
    </row>
    <row r="417" spans="3:13" x14ac:dyDescent="0.25">
      <c r="C417" s="115"/>
      <c r="F417" s="18" t="s">
        <v>808</v>
      </c>
      <c r="K417" s="28"/>
      <c r="L417" s="4"/>
      <c r="M417" s="4"/>
    </row>
    <row r="418" spans="3:13" ht="14.95" thickBot="1" x14ac:dyDescent="0.3">
      <c r="C418" s="116"/>
      <c r="F418" s="117" t="s">
        <v>809</v>
      </c>
      <c r="H418" s="38"/>
      <c r="I418" s="45"/>
      <c r="K418" s="29"/>
      <c r="L418" s="4"/>
      <c r="M418" s="4"/>
    </row>
    <row r="419" spans="3:13" x14ac:dyDescent="0.25">
      <c r="C419" s="113" t="s">
        <v>810</v>
      </c>
      <c r="F419" s="114" t="s">
        <v>811</v>
      </c>
      <c r="H419" s="36"/>
      <c r="I419" s="45"/>
      <c r="K419" s="26" t="s">
        <v>422</v>
      </c>
      <c r="L419" s="4"/>
      <c r="M419" s="4"/>
    </row>
    <row r="420" spans="3:13" x14ac:dyDescent="0.25">
      <c r="C420" s="115"/>
      <c r="F420" s="18" t="s">
        <v>694</v>
      </c>
      <c r="K420" s="28"/>
      <c r="L420" s="4"/>
      <c r="M420" s="4"/>
    </row>
    <row r="421" spans="3:13" x14ac:dyDescent="0.25">
      <c r="C421" s="115"/>
      <c r="F421" s="18" t="s">
        <v>812</v>
      </c>
      <c r="K421" s="28"/>
      <c r="L421" s="4"/>
      <c r="M421" s="4"/>
    </row>
    <row r="422" spans="3:13" x14ac:dyDescent="0.25">
      <c r="C422" s="115"/>
      <c r="F422" s="18" t="s">
        <v>813</v>
      </c>
      <c r="K422" s="28"/>
      <c r="L422" s="4"/>
      <c r="M422" s="4"/>
    </row>
    <row r="423" spans="3:13" x14ac:dyDescent="0.25">
      <c r="C423" s="115"/>
      <c r="F423" s="18" t="s">
        <v>51</v>
      </c>
      <c r="K423" s="28"/>
      <c r="L423" s="4"/>
      <c r="M423" s="4"/>
    </row>
    <row r="424" spans="3:13" x14ac:dyDescent="0.25">
      <c r="C424" s="115"/>
      <c r="F424" s="18" t="s">
        <v>814</v>
      </c>
      <c r="K424" s="28"/>
      <c r="L424" s="4"/>
      <c r="M424" s="4"/>
    </row>
    <row r="425" spans="3:13" x14ac:dyDescent="0.25">
      <c r="C425" s="115"/>
      <c r="F425" s="18" t="s">
        <v>815</v>
      </c>
      <c r="K425" s="28"/>
      <c r="L425" s="4"/>
      <c r="M425" s="4"/>
    </row>
    <row r="426" spans="3:13" x14ac:dyDescent="0.25">
      <c r="C426" s="115"/>
      <c r="F426" s="18" t="s">
        <v>816</v>
      </c>
      <c r="K426" s="28"/>
      <c r="L426" s="4"/>
      <c r="M426" s="4"/>
    </row>
    <row r="427" spans="3:13" x14ac:dyDescent="0.25">
      <c r="C427" s="115"/>
      <c r="F427" s="18" t="s">
        <v>817</v>
      </c>
      <c r="K427" s="28"/>
      <c r="L427" s="4"/>
      <c r="M427" s="4"/>
    </row>
    <row r="428" spans="3:13" ht="14.95" thickBot="1" x14ac:dyDescent="0.3">
      <c r="C428" s="116"/>
      <c r="F428" s="117" t="s">
        <v>729</v>
      </c>
      <c r="H428" s="38"/>
      <c r="I428" s="45"/>
      <c r="K428" s="29"/>
      <c r="L428" s="4"/>
      <c r="M428" s="4"/>
    </row>
    <row r="429" spans="3:13" x14ac:dyDescent="0.25">
      <c r="C429" s="113" t="s">
        <v>818</v>
      </c>
      <c r="F429" s="114" t="s">
        <v>819</v>
      </c>
      <c r="H429" s="36"/>
      <c r="I429" s="45"/>
      <c r="K429" s="26" t="s">
        <v>422</v>
      </c>
      <c r="L429" s="4"/>
      <c r="M429" s="4"/>
    </row>
    <row r="430" spans="3:13" x14ac:dyDescent="0.25">
      <c r="C430" s="115"/>
      <c r="F430" s="18" t="s">
        <v>820</v>
      </c>
      <c r="K430" s="28"/>
      <c r="L430" s="4"/>
      <c r="M430" s="4"/>
    </row>
    <row r="431" spans="3:13" x14ac:dyDescent="0.25">
      <c r="C431" s="115"/>
      <c r="F431" s="18" t="s">
        <v>821</v>
      </c>
      <c r="K431" s="28"/>
      <c r="L431" s="4"/>
      <c r="M431" s="4"/>
    </row>
    <row r="432" spans="3:13" x14ac:dyDescent="0.25">
      <c r="C432" s="115"/>
      <c r="F432" s="18" t="s">
        <v>822</v>
      </c>
      <c r="K432" s="28"/>
      <c r="L432" s="4"/>
      <c r="M432" s="4"/>
    </row>
    <row r="433" spans="3:13" x14ac:dyDescent="0.25">
      <c r="C433" s="115"/>
      <c r="F433" s="18" t="s">
        <v>823</v>
      </c>
      <c r="K433" s="28"/>
      <c r="L433" s="4"/>
      <c r="M433" s="4"/>
    </row>
    <row r="434" spans="3:13" x14ac:dyDescent="0.25">
      <c r="C434" s="115"/>
      <c r="F434" s="18" t="s">
        <v>824</v>
      </c>
      <c r="K434" s="28"/>
      <c r="L434" s="4"/>
      <c r="M434" s="4"/>
    </row>
    <row r="435" spans="3:13" x14ac:dyDescent="0.25">
      <c r="C435" s="115"/>
      <c r="F435" s="18" t="s">
        <v>825</v>
      </c>
      <c r="K435" s="28"/>
      <c r="L435" s="4"/>
      <c r="M435" s="4"/>
    </row>
    <row r="436" spans="3:13" x14ac:dyDescent="0.25">
      <c r="C436" s="115"/>
      <c r="F436" s="18" t="s">
        <v>826</v>
      </c>
      <c r="K436" s="28"/>
      <c r="L436" s="4"/>
      <c r="M436" s="4"/>
    </row>
    <row r="437" spans="3:13" x14ac:dyDescent="0.25">
      <c r="C437" s="115"/>
      <c r="F437" s="18" t="s">
        <v>827</v>
      </c>
      <c r="K437" s="28"/>
      <c r="L437" s="4"/>
      <c r="M437" s="4"/>
    </row>
    <row r="438" spans="3:13" ht="14.95" thickBot="1" x14ac:dyDescent="0.3">
      <c r="C438" s="116"/>
      <c r="F438" s="117" t="s">
        <v>828</v>
      </c>
      <c r="H438" s="38"/>
      <c r="I438" s="45"/>
      <c r="K438" s="29"/>
      <c r="L438" s="4"/>
      <c r="M438" s="4"/>
    </row>
    <row r="439" spans="3:13" x14ac:dyDescent="0.25">
      <c r="C439" s="113" t="s">
        <v>829</v>
      </c>
      <c r="F439" s="114" t="s">
        <v>410</v>
      </c>
      <c r="H439" s="36"/>
      <c r="I439" s="45"/>
      <c r="K439" s="26" t="s">
        <v>422</v>
      </c>
      <c r="L439" s="4"/>
      <c r="M439" s="4"/>
    </row>
    <row r="440" spans="3:13" x14ac:dyDescent="0.25">
      <c r="C440" s="115"/>
      <c r="F440" s="18" t="s">
        <v>724</v>
      </c>
      <c r="K440" s="28"/>
      <c r="L440" s="4"/>
      <c r="M440" s="4"/>
    </row>
    <row r="441" spans="3:13" x14ac:dyDescent="0.25">
      <c r="C441" s="115"/>
      <c r="F441" s="18" t="s">
        <v>316</v>
      </c>
      <c r="K441" s="28"/>
      <c r="L441" s="4"/>
      <c r="M441" s="4"/>
    </row>
    <row r="442" spans="3:13" x14ac:dyDescent="0.25">
      <c r="C442" s="115"/>
      <c r="F442" s="18" t="s">
        <v>89</v>
      </c>
      <c r="K442" s="28"/>
      <c r="L442" s="4"/>
      <c r="M442" s="4"/>
    </row>
    <row r="443" spans="3:13" x14ac:dyDescent="0.25">
      <c r="C443" s="115"/>
      <c r="F443" s="18" t="s">
        <v>749</v>
      </c>
      <c r="K443" s="28"/>
      <c r="L443" s="4"/>
      <c r="M443" s="4"/>
    </row>
    <row r="444" spans="3:13" x14ac:dyDescent="0.25">
      <c r="C444" s="115"/>
      <c r="F444" s="18" t="s">
        <v>830</v>
      </c>
      <c r="K444" s="28"/>
      <c r="L444" s="4"/>
      <c r="M444" s="4"/>
    </row>
    <row r="445" spans="3:13" x14ac:dyDescent="0.25">
      <c r="C445" s="115"/>
      <c r="F445" s="18" t="s">
        <v>831</v>
      </c>
      <c r="K445" s="28"/>
      <c r="L445" s="4"/>
      <c r="M445" s="4"/>
    </row>
    <row r="446" spans="3:13" x14ac:dyDescent="0.25">
      <c r="C446" s="115"/>
      <c r="F446" s="18" t="s">
        <v>683</v>
      </c>
      <c r="K446" s="28"/>
      <c r="L446" s="4"/>
      <c r="M446" s="4"/>
    </row>
    <row r="447" spans="3:13" x14ac:dyDescent="0.25">
      <c r="C447" s="115"/>
      <c r="F447" s="18" t="s">
        <v>724</v>
      </c>
      <c r="K447" s="28"/>
      <c r="L447" s="4"/>
      <c r="M447" s="4"/>
    </row>
    <row r="448" spans="3:13" ht="14.95" thickBot="1" x14ac:dyDescent="0.3">
      <c r="C448" s="116"/>
      <c r="F448" s="117" t="s">
        <v>410</v>
      </c>
      <c r="H448" s="38"/>
      <c r="I448" s="45"/>
      <c r="K448" s="29"/>
      <c r="L448" s="4"/>
      <c r="M448" s="4"/>
    </row>
    <row r="449" spans="3:13" x14ac:dyDescent="0.25">
      <c r="C449" s="113" t="s">
        <v>832</v>
      </c>
      <c r="F449" s="114" t="s">
        <v>766</v>
      </c>
      <c r="H449" s="36"/>
      <c r="I449" s="45"/>
      <c r="K449" s="26" t="s">
        <v>422</v>
      </c>
      <c r="L449" s="4"/>
      <c r="M449" s="4"/>
    </row>
    <row r="450" spans="3:13" x14ac:dyDescent="0.25">
      <c r="C450" s="115"/>
      <c r="F450" s="18" t="s">
        <v>833</v>
      </c>
      <c r="K450" s="28"/>
      <c r="L450" s="4"/>
      <c r="M450" s="4"/>
    </row>
    <row r="451" spans="3:13" x14ac:dyDescent="0.25">
      <c r="C451" s="115"/>
      <c r="F451" s="18" t="s">
        <v>834</v>
      </c>
      <c r="K451" s="28"/>
      <c r="L451" s="4"/>
      <c r="M451" s="4"/>
    </row>
    <row r="452" spans="3:13" ht="14.95" thickBot="1" x14ac:dyDescent="0.3">
      <c r="C452" s="116"/>
      <c r="F452" s="117" t="s">
        <v>835</v>
      </c>
      <c r="H452" s="38"/>
      <c r="I452" s="45"/>
      <c r="K452" s="29"/>
      <c r="L452" s="4"/>
      <c r="M452" s="4"/>
    </row>
    <row r="453" spans="3:13" x14ac:dyDescent="0.25">
      <c r="C453" s="113" t="s">
        <v>836</v>
      </c>
      <c r="F453" s="114" t="s">
        <v>837</v>
      </c>
      <c r="H453" s="36"/>
      <c r="I453" s="45"/>
      <c r="K453" s="26" t="s">
        <v>422</v>
      </c>
      <c r="L453" s="4"/>
      <c r="M453" s="4"/>
    </row>
    <row r="454" spans="3:13" x14ac:dyDescent="0.25">
      <c r="C454" s="115"/>
      <c r="F454" s="18" t="s">
        <v>838</v>
      </c>
      <c r="K454" s="28"/>
      <c r="L454" s="4"/>
      <c r="M454" s="4"/>
    </row>
    <row r="455" spans="3:13" x14ac:dyDescent="0.25">
      <c r="C455" s="115"/>
      <c r="F455" s="18" t="s">
        <v>839</v>
      </c>
      <c r="K455" s="28"/>
      <c r="L455" s="4"/>
      <c r="M455" s="4"/>
    </row>
    <row r="456" spans="3:13" x14ac:dyDescent="0.25">
      <c r="C456" s="115"/>
      <c r="F456" s="18" t="s">
        <v>840</v>
      </c>
      <c r="K456" s="28"/>
      <c r="L456" s="4"/>
      <c r="M456" s="4"/>
    </row>
    <row r="457" spans="3:13" x14ac:dyDescent="0.25">
      <c r="C457" s="115"/>
      <c r="F457" s="18" t="s">
        <v>841</v>
      </c>
      <c r="K457" s="28"/>
      <c r="L457" s="4"/>
      <c r="M457" s="4"/>
    </row>
    <row r="458" spans="3:13" ht="14.95" thickBot="1" x14ac:dyDescent="0.3">
      <c r="C458" s="116"/>
      <c r="F458" s="117" t="s">
        <v>842</v>
      </c>
      <c r="H458" s="38"/>
      <c r="I458" s="45"/>
      <c r="K458" s="29"/>
      <c r="L458" s="4"/>
      <c r="M458" s="4"/>
    </row>
    <row r="459" spans="3:13" x14ac:dyDescent="0.25">
      <c r="C459" s="113" t="s">
        <v>843</v>
      </c>
      <c r="F459" s="114" t="s">
        <v>844</v>
      </c>
      <c r="H459" s="36"/>
      <c r="I459" s="45"/>
      <c r="K459" s="26" t="s">
        <v>422</v>
      </c>
      <c r="L459" s="4"/>
      <c r="M459" s="4"/>
    </row>
    <row r="460" spans="3:13" x14ac:dyDescent="0.25">
      <c r="C460" s="115"/>
      <c r="F460" s="18" t="s">
        <v>845</v>
      </c>
      <c r="K460" s="28"/>
      <c r="L460" s="4"/>
      <c r="M460" s="4"/>
    </row>
    <row r="461" spans="3:13" x14ac:dyDescent="0.25">
      <c r="C461" s="115"/>
      <c r="F461" s="18" t="s">
        <v>846</v>
      </c>
      <c r="K461" s="28"/>
      <c r="L461" s="4"/>
      <c r="M461" s="4"/>
    </row>
    <row r="462" spans="3:13" x14ac:dyDescent="0.25">
      <c r="C462" s="115"/>
      <c r="F462" s="18" t="s">
        <v>847</v>
      </c>
      <c r="K462" s="28"/>
      <c r="L462" s="4"/>
      <c r="M462" s="4"/>
    </row>
    <row r="463" spans="3:13" x14ac:dyDescent="0.25">
      <c r="C463" s="115"/>
      <c r="F463" s="18" t="s">
        <v>692</v>
      </c>
      <c r="K463" s="28"/>
      <c r="L463" s="4"/>
      <c r="M463" s="4"/>
    </row>
    <row r="464" spans="3:13" ht="14.95" thickBot="1" x14ac:dyDescent="0.3">
      <c r="C464" s="116"/>
      <c r="F464" s="117" t="s">
        <v>848</v>
      </c>
      <c r="H464" s="38"/>
      <c r="I464" s="45"/>
      <c r="K464" s="29"/>
      <c r="L464" s="4"/>
      <c r="M464" s="4"/>
    </row>
    <row r="465" spans="3:13" x14ac:dyDescent="0.25">
      <c r="C465" s="113" t="s">
        <v>849</v>
      </c>
      <c r="F465" s="114" t="s">
        <v>415</v>
      </c>
      <c r="H465" s="36"/>
      <c r="I465" s="45"/>
      <c r="K465" s="26" t="s">
        <v>455</v>
      </c>
      <c r="L465" s="4"/>
      <c r="M465" s="4"/>
    </row>
    <row r="466" spans="3:13" x14ac:dyDescent="0.25">
      <c r="C466" s="115"/>
      <c r="F466" s="18" t="s">
        <v>850</v>
      </c>
      <c r="K466" s="28"/>
      <c r="L466" s="4"/>
      <c r="M466" s="4"/>
    </row>
    <row r="467" spans="3:13" ht="14.95" thickBot="1" x14ac:dyDescent="0.3">
      <c r="C467" s="116"/>
      <c r="F467" s="117" t="s">
        <v>851</v>
      </c>
      <c r="H467" s="38"/>
      <c r="I467" s="45"/>
      <c r="K467" s="29"/>
      <c r="L467" s="4"/>
      <c r="M467" s="4"/>
    </row>
    <row r="468" spans="3:13" x14ac:dyDescent="0.25">
      <c r="C468" s="113" t="s">
        <v>852</v>
      </c>
      <c r="F468" s="114" t="s">
        <v>853</v>
      </c>
      <c r="H468" s="36"/>
      <c r="I468" s="45"/>
      <c r="K468" s="26" t="s">
        <v>852</v>
      </c>
      <c r="L468" s="4"/>
      <c r="M468" s="4"/>
    </row>
    <row r="469" spans="3:13" ht="14.95" thickBot="1" x14ac:dyDescent="0.3">
      <c r="C469" s="116"/>
      <c r="F469" s="117" t="s">
        <v>854</v>
      </c>
      <c r="H469" s="38"/>
      <c r="I469" s="45"/>
      <c r="K469" s="29"/>
      <c r="L469" s="4"/>
      <c r="M469" s="4"/>
    </row>
    <row r="470" spans="3:13" x14ac:dyDescent="0.25">
      <c r="C470" s="113" t="s">
        <v>855</v>
      </c>
      <c r="F470" s="114" t="s">
        <v>856</v>
      </c>
      <c r="H470" s="36"/>
      <c r="I470" s="45"/>
      <c r="K470" s="26" t="s">
        <v>681</v>
      </c>
      <c r="L470" s="4"/>
      <c r="M470" s="4"/>
    </row>
    <row r="471" spans="3:13" x14ac:dyDescent="0.25">
      <c r="C471" s="115"/>
      <c r="F471" s="18" t="s">
        <v>857</v>
      </c>
      <c r="K471" s="28"/>
      <c r="L471" s="4"/>
      <c r="M471" s="4"/>
    </row>
    <row r="472" spans="3:13" ht="14.95" thickBot="1" x14ac:dyDescent="0.3">
      <c r="C472" s="116"/>
      <c r="F472" s="117" t="s">
        <v>858</v>
      </c>
      <c r="H472" s="38"/>
      <c r="I472" s="45"/>
      <c r="K472" s="29"/>
      <c r="L472" s="4"/>
      <c r="M472" s="4"/>
    </row>
    <row r="473" spans="3:13" x14ac:dyDescent="0.25">
      <c r="C473" s="113" t="s">
        <v>859</v>
      </c>
      <c r="F473" s="114" t="s">
        <v>860</v>
      </c>
      <c r="H473" s="36"/>
      <c r="I473" s="45"/>
      <c r="K473" s="26" t="s">
        <v>861</v>
      </c>
      <c r="L473" s="4"/>
      <c r="M473" s="4"/>
    </row>
    <row r="474" spans="3:13" ht="14.95" thickBot="1" x14ac:dyDescent="0.3">
      <c r="C474" s="116"/>
      <c r="F474" s="117" t="s">
        <v>862</v>
      </c>
      <c r="H474" s="38"/>
      <c r="I474" s="45"/>
      <c r="K474" s="29"/>
      <c r="L474" s="4"/>
      <c r="M474" s="4"/>
    </row>
    <row r="475" spans="3:13" x14ac:dyDescent="0.25">
      <c r="C475" s="113" t="s">
        <v>863</v>
      </c>
      <c r="F475" s="114" t="s">
        <v>793</v>
      </c>
      <c r="H475" s="36"/>
      <c r="I475" s="45"/>
      <c r="K475" s="26" t="s">
        <v>439</v>
      </c>
      <c r="L475" s="4"/>
      <c r="M475" s="4"/>
    </row>
    <row r="476" spans="3:13" ht="14.95" thickBot="1" x14ac:dyDescent="0.3">
      <c r="C476" s="116"/>
      <c r="F476" s="117" t="s">
        <v>864</v>
      </c>
      <c r="H476" s="38"/>
      <c r="I476" s="45"/>
      <c r="K476" s="29"/>
      <c r="L476" s="4"/>
      <c r="M476" s="4"/>
    </row>
    <row r="477" spans="3:13" x14ac:dyDescent="0.25">
      <c r="C477" s="113" t="s">
        <v>865</v>
      </c>
      <c r="F477" s="114" t="s">
        <v>866</v>
      </c>
      <c r="H477" s="36"/>
      <c r="I477" s="45"/>
      <c r="K477" s="26" t="s">
        <v>458</v>
      </c>
      <c r="L477" s="4"/>
      <c r="M477" s="4"/>
    </row>
    <row r="478" spans="3:13" x14ac:dyDescent="0.25">
      <c r="C478" s="115"/>
      <c r="F478" s="18" t="s">
        <v>867</v>
      </c>
      <c r="K478" s="28"/>
      <c r="L478" s="4"/>
      <c r="M478" s="4"/>
    </row>
    <row r="479" spans="3:13" x14ac:dyDescent="0.25">
      <c r="C479" s="115"/>
      <c r="F479" s="18" t="s">
        <v>868</v>
      </c>
      <c r="K479" s="28"/>
      <c r="L479" s="4"/>
      <c r="M479" s="4"/>
    </row>
    <row r="480" spans="3:13" ht="14.95" thickBot="1" x14ac:dyDescent="0.3">
      <c r="C480" s="116"/>
      <c r="F480" s="117" t="s">
        <v>415</v>
      </c>
      <c r="H480" s="38"/>
      <c r="I480" s="45"/>
      <c r="K480" s="29"/>
      <c r="L480" s="4"/>
      <c r="M480" s="4"/>
    </row>
    <row r="481" spans="3:13" x14ac:dyDescent="0.25">
      <c r="C481" s="113" t="s">
        <v>869</v>
      </c>
      <c r="F481" s="114" t="s">
        <v>741</v>
      </c>
      <c r="H481" s="36"/>
      <c r="I481" s="45"/>
      <c r="K481" s="26" t="s">
        <v>455</v>
      </c>
      <c r="L481" s="4"/>
      <c r="M481" s="4"/>
    </row>
    <row r="482" spans="3:13" x14ac:dyDescent="0.25">
      <c r="C482" s="115"/>
      <c r="F482" s="18" t="s">
        <v>870</v>
      </c>
      <c r="K482" s="28"/>
      <c r="L482" s="4"/>
      <c r="M482" s="4"/>
    </row>
    <row r="483" spans="3:13" x14ac:dyDescent="0.25">
      <c r="C483" s="115"/>
      <c r="F483" s="18" t="s">
        <v>741</v>
      </c>
      <c r="K483" s="28"/>
      <c r="L483" s="4"/>
      <c r="M483" s="4"/>
    </row>
    <row r="484" spans="3:13" x14ac:dyDescent="0.25">
      <c r="C484" s="115"/>
      <c r="F484" s="18" t="s">
        <v>871</v>
      </c>
      <c r="K484" s="28"/>
      <c r="L484" s="4"/>
      <c r="M484" s="4"/>
    </row>
    <row r="485" spans="3:13" x14ac:dyDescent="0.25">
      <c r="C485" s="115"/>
      <c r="F485" s="18" t="s">
        <v>741</v>
      </c>
      <c r="K485" s="28"/>
      <c r="L485" s="4"/>
      <c r="M485" s="4"/>
    </row>
    <row r="486" spans="3:13" ht="14.95" thickBot="1" x14ac:dyDescent="0.3">
      <c r="C486" s="116"/>
      <c r="F486" s="117" t="s">
        <v>872</v>
      </c>
      <c r="H486" s="38"/>
      <c r="I486" s="45"/>
      <c r="K486" s="29"/>
      <c r="L486" s="4"/>
      <c r="M486" s="4"/>
    </row>
    <row r="487" spans="3:13" x14ac:dyDescent="0.25">
      <c r="C487" s="113" t="s">
        <v>873</v>
      </c>
      <c r="F487" s="114" t="s">
        <v>874</v>
      </c>
      <c r="H487" s="36"/>
      <c r="I487" s="45"/>
      <c r="K487" s="26" t="s">
        <v>422</v>
      </c>
      <c r="L487" s="4"/>
      <c r="M487" s="4"/>
    </row>
    <row r="488" spans="3:13" x14ac:dyDescent="0.25">
      <c r="C488" s="115"/>
      <c r="F488" s="18" t="s">
        <v>875</v>
      </c>
      <c r="K488" s="28"/>
      <c r="L488" s="4"/>
      <c r="M488" s="4"/>
    </row>
    <row r="489" spans="3:13" x14ac:dyDescent="0.25">
      <c r="C489" s="115"/>
      <c r="F489" s="18" t="s">
        <v>876</v>
      </c>
      <c r="K489" s="28"/>
      <c r="L489" s="4"/>
      <c r="M489" s="4"/>
    </row>
    <row r="490" spans="3:13" x14ac:dyDescent="0.25">
      <c r="C490" s="115"/>
      <c r="F490" s="18" t="s">
        <v>877</v>
      </c>
      <c r="K490" s="28"/>
      <c r="L490" s="4"/>
      <c r="M490" s="4"/>
    </row>
    <row r="491" spans="3:13" x14ac:dyDescent="0.25">
      <c r="C491" s="115"/>
      <c r="F491" s="18" t="s">
        <v>878</v>
      </c>
      <c r="K491" s="28"/>
      <c r="L491" s="4"/>
      <c r="M491" s="4"/>
    </row>
    <row r="492" spans="3:13" x14ac:dyDescent="0.25">
      <c r="C492" s="115"/>
      <c r="F492" s="18" t="s">
        <v>879</v>
      </c>
      <c r="K492" s="28"/>
      <c r="L492" s="4"/>
      <c r="M492" s="4"/>
    </row>
    <row r="493" spans="3:13" x14ac:dyDescent="0.25">
      <c r="C493" s="115"/>
      <c r="F493" s="18" t="s">
        <v>880</v>
      </c>
      <c r="K493" s="28"/>
      <c r="L493" s="4"/>
      <c r="M493" s="4"/>
    </row>
    <row r="494" spans="3:13" x14ac:dyDescent="0.25">
      <c r="C494" s="115"/>
      <c r="F494" s="18" t="s">
        <v>881</v>
      </c>
      <c r="K494" s="28"/>
      <c r="L494" s="4"/>
      <c r="M494" s="4"/>
    </row>
    <row r="495" spans="3:13" x14ac:dyDescent="0.25">
      <c r="C495" s="115"/>
      <c r="F495" s="18" t="s">
        <v>882</v>
      </c>
      <c r="K495" s="28"/>
      <c r="L495" s="4"/>
      <c r="M495" s="4"/>
    </row>
    <row r="496" spans="3:13" ht="14.95" thickBot="1" x14ac:dyDescent="0.3">
      <c r="C496" s="116"/>
      <c r="F496" s="117" t="s">
        <v>883</v>
      </c>
      <c r="H496" s="38"/>
      <c r="I496" s="45"/>
      <c r="K496" s="29"/>
      <c r="L496" s="4"/>
      <c r="M496" s="4"/>
    </row>
    <row r="497" spans="3:13" x14ac:dyDescent="0.25">
      <c r="C497" s="113" t="s">
        <v>884</v>
      </c>
      <c r="F497" s="114" t="s">
        <v>885</v>
      </c>
      <c r="H497" s="36"/>
      <c r="I497" s="45"/>
      <c r="K497" s="26" t="s">
        <v>422</v>
      </c>
      <c r="L497" s="4"/>
      <c r="M497" s="4"/>
    </row>
    <row r="498" spans="3:13" x14ac:dyDescent="0.25">
      <c r="C498" s="115"/>
      <c r="F498" s="18" t="s">
        <v>886</v>
      </c>
      <c r="K498" s="28"/>
      <c r="L498" s="4"/>
      <c r="M498" s="4"/>
    </row>
    <row r="499" spans="3:13" x14ac:dyDescent="0.25">
      <c r="C499" s="115"/>
      <c r="F499" s="18" t="s">
        <v>885</v>
      </c>
      <c r="K499" s="28"/>
      <c r="L499" s="4"/>
      <c r="M499" s="4"/>
    </row>
    <row r="500" spans="3:13" ht="14.95" thickBot="1" x14ac:dyDescent="0.3">
      <c r="C500" s="116"/>
      <c r="F500" s="117" t="s">
        <v>887</v>
      </c>
      <c r="H500" s="38"/>
      <c r="I500" s="45"/>
      <c r="K500" s="29"/>
      <c r="L500" s="4"/>
      <c r="M500" s="4"/>
    </row>
    <row r="501" spans="3:13" x14ac:dyDescent="0.25">
      <c r="C501" s="113" t="s">
        <v>888</v>
      </c>
      <c r="F501" s="114" t="s">
        <v>889</v>
      </c>
      <c r="H501" s="36"/>
      <c r="I501" s="45"/>
      <c r="K501" s="26" t="s">
        <v>455</v>
      </c>
      <c r="L501" s="4"/>
      <c r="M501" s="4"/>
    </row>
    <row r="502" spans="3:13" x14ac:dyDescent="0.25">
      <c r="C502" s="115"/>
      <c r="F502" s="18" t="s">
        <v>890</v>
      </c>
      <c r="K502" s="28"/>
      <c r="L502" s="4"/>
      <c r="M502" s="4"/>
    </row>
    <row r="503" spans="3:13" ht="14.95" thickBot="1" x14ac:dyDescent="0.3">
      <c r="C503" s="116"/>
      <c r="F503" s="117" t="s">
        <v>891</v>
      </c>
      <c r="H503" s="38"/>
      <c r="I503" s="45"/>
      <c r="K503" s="29"/>
      <c r="L503" s="4"/>
      <c r="M503" s="4"/>
    </row>
    <row r="504" spans="3:13" x14ac:dyDescent="0.25">
      <c r="C504" s="113" t="s">
        <v>892</v>
      </c>
      <c r="F504" s="114" t="s">
        <v>415</v>
      </c>
      <c r="H504" s="36"/>
      <c r="I504" s="45"/>
      <c r="K504" s="26" t="s">
        <v>413</v>
      </c>
      <c r="L504" s="4"/>
      <c r="M504" s="4"/>
    </row>
    <row r="505" spans="3:13" x14ac:dyDescent="0.25">
      <c r="C505" s="115"/>
      <c r="F505" s="18" t="s">
        <v>893</v>
      </c>
      <c r="K505" s="28"/>
      <c r="L505" s="4"/>
      <c r="M505" s="4"/>
    </row>
    <row r="506" spans="3:13" x14ac:dyDescent="0.25">
      <c r="C506" s="115"/>
      <c r="F506" s="18" t="s">
        <v>707</v>
      </c>
      <c r="K506" s="28"/>
      <c r="L506" s="4"/>
      <c r="M506" s="4"/>
    </row>
    <row r="507" spans="3:13" x14ac:dyDescent="0.25">
      <c r="C507" s="115"/>
      <c r="F507" s="18" t="s">
        <v>894</v>
      </c>
      <c r="K507" s="28"/>
      <c r="L507" s="4"/>
      <c r="M507" s="4"/>
    </row>
    <row r="508" spans="3:13" x14ac:dyDescent="0.25">
      <c r="C508" s="115"/>
      <c r="F508" s="18" t="s">
        <v>895</v>
      </c>
      <c r="K508" s="28"/>
      <c r="L508" s="4"/>
      <c r="M508" s="4"/>
    </row>
    <row r="509" spans="3:13" ht="14.95" thickBot="1" x14ac:dyDescent="0.3">
      <c r="C509" s="116"/>
      <c r="F509" s="117" t="s">
        <v>858</v>
      </c>
      <c r="H509" s="38"/>
      <c r="I509" s="45"/>
      <c r="K509" s="29"/>
      <c r="L509" s="4"/>
      <c r="M509" s="4"/>
    </row>
    <row r="510" spans="3:13" x14ac:dyDescent="0.25">
      <c r="C510" s="113" t="s">
        <v>896</v>
      </c>
      <c r="F510" s="114" t="s">
        <v>410</v>
      </c>
      <c r="H510" s="36"/>
      <c r="I510" s="45"/>
      <c r="K510" s="26" t="s">
        <v>429</v>
      </c>
      <c r="L510" s="4"/>
      <c r="M510" s="4"/>
    </row>
    <row r="511" spans="3:13" x14ac:dyDescent="0.25">
      <c r="C511" s="115"/>
      <c r="F511" s="18" t="s">
        <v>897</v>
      </c>
      <c r="K511" s="28"/>
      <c r="L511" s="4"/>
      <c r="M511" s="4"/>
    </row>
    <row r="512" spans="3:13" x14ac:dyDescent="0.25">
      <c r="C512" s="115"/>
      <c r="F512" s="18" t="s">
        <v>741</v>
      </c>
      <c r="K512" s="28"/>
      <c r="L512" s="4"/>
      <c r="M512" s="4"/>
    </row>
    <row r="513" spans="3:13" x14ac:dyDescent="0.25">
      <c r="C513" s="115"/>
      <c r="F513" s="18" t="s">
        <v>680</v>
      </c>
      <c r="K513" s="28"/>
      <c r="L513" s="4"/>
      <c r="M513" s="4"/>
    </row>
    <row r="514" spans="3:13" x14ac:dyDescent="0.25">
      <c r="C514" s="115"/>
      <c r="F514" s="18" t="s">
        <v>415</v>
      </c>
      <c r="K514" s="28"/>
      <c r="L514" s="4"/>
      <c r="M514" s="4"/>
    </row>
    <row r="515" spans="3:13" ht="14.95" thickBot="1" x14ac:dyDescent="0.3">
      <c r="C515" s="116"/>
      <c r="F515" s="117" t="s">
        <v>898</v>
      </c>
      <c r="H515" s="38"/>
      <c r="I515" s="45"/>
      <c r="K515" s="29"/>
      <c r="L515" s="4"/>
      <c r="M515" s="4"/>
    </row>
    <row r="516" spans="3:13" x14ac:dyDescent="0.25">
      <c r="C516" s="113" t="s">
        <v>899</v>
      </c>
      <c r="F516" s="114" t="s">
        <v>410</v>
      </c>
      <c r="H516" s="36"/>
      <c r="I516" s="45"/>
      <c r="K516" s="26" t="s">
        <v>422</v>
      </c>
      <c r="L516" s="4"/>
      <c r="M516" s="4"/>
    </row>
    <row r="517" spans="3:13" x14ac:dyDescent="0.25">
      <c r="C517" s="115"/>
      <c r="F517" s="18" t="s">
        <v>900</v>
      </c>
      <c r="K517" s="28"/>
      <c r="L517" s="4"/>
      <c r="M517" s="4"/>
    </row>
    <row r="518" spans="3:13" x14ac:dyDescent="0.25">
      <c r="C518" s="115"/>
      <c r="F518" s="18" t="s">
        <v>901</v>
      </c>
      <c r="K518" s="28"/>
      <c r="L518" s="4"/>
      <c r="M518" s="4"/>
    </row>
    <row r="519" spans="3:13" x14ac:dyDescent="0.25">
      <c r="C519" s="115"/>
      <c r="F519" s="18" t="s">
        <v>410</v>
      </c>
      <c r="K519" s="28"/>
      <c r="L519" s="4"/>
      <c r="M519" s="4"/>
    </row>
    <row r="520" spans="3:13" x14ac:dyDescent="0.25">
      <c r="C520" s="115"/>
      <c r="F520" s="18" t="s">
        <v>902</v>
      </c>
      <c r="K520" s="28"/>
      <c r="L520" s="4"/>
      <c r="M520" s="4"/>
    </row>
    <row r="521" spans="3:13" x14ac:dyDescent="0.25">
      <c r="C521" s="115"/>
      <c r="F521" s="18" t="s">
        <v>903</v>
      </c>
      <c r="K521" s="28"/>
      <c r="L521" s="4"/>
      <c r="M521" s="4"/>
    </row>
    <row r="522" spans="3:13" x14ac:dyDescent="0.25">
      <c r="C522" s="115"/>
      <c r="F522" s="18" t="s">
        <v>410</v>
      </c>
      <c r="K522" s="28"/>
      <c r="L522" s="4"/>
      <c r="M522" s="4"/>
    </row>
    <row r="523" spans="3:13" x14ac:dyDescent="0.25">
      <c r="C523" s="115"/>
      <c r="F523" s="18" t="s">
        <v>904</v>
      </c>
      <c r="K523" s="28"/>
      <c r="L523" s="4"/>
      <c r="M523" s="4"/>
    </row>
    <row r="524" spans="3:13" x14ac:dyDescent="0.25">
      <c r="C524" s="115"/>
      <c r="F524" s="18" t="s">
        <v>905</v>
      </c>
      <c r="K524" s="28"/>
      <c r="L524" s="4"/>
      <c r="M524" s="4"/>
    </row>
    <row r="525" spans="3:13" x14ac:dyDescent="0.25">
      <c r="C525" s="115"/>
      <c r="F525" s="18" t="s">
        <v>410</v>
      </c>
      <c r="K525" s="28"/>
      <c r="L525" s="4"/>
      <c r="M525" s="4"/>
    </row>
    <row r="526" spans="3:13" ht="14.95" thickBot="1" x14ac:dyDescent="0.3">
      <c r="C526" s="116"/>
      <c r="F526" s="117" t="s">
        <v>906</v>
      </c>
      <c r="H526" s="38"/>
      <c r="I526" s="45"/>
      <c r="K526" s="29"/>
      <c r="L526" s="4"/>
      <c r="M526" s="4"/>
    </row>
    <row r="527" spans="3:13" x14ac:dyDescent="0.25">
      <c r="C527" s="113" t="s">
        <v>907</v>
      </c>
      <c r="F527" s="114" t="s">
        <v>908</v>
      </c>
      <c r="H527" s="36"/>
      <c r="I527" s="45"/>
      <c r="K527" s="26" t="s">
        <v>909</v>
      </c>
      <c r="L527" s="4"/>
      <c r="M527" s="4"/>
    </row>
    <row r="528" spans="3:13" x14ac:dyDescent="0.25">
      <c r="C528" s="115"/>
      <c r="F528" s="18" t="s">
        <v>910</v>
      </c>
      <c r="K528" s="28"/>
      <c r="L528" s="4"/>
      <c r="M528" s="4"/>
    </row>
    <row r="529" spans="3:13" ht="14.95" thickBot="1" x14ac:dyDescent="0.3">
      <c r="C529" s="116"/>
      <c r="F529" s="117" t="s">
        <v>911</v>
      </c>
      <c r="H529" s="38"/>
      <c r="I529" s="45"/>
      <c r="K529" s="29"/>
      <c r="L529" s="4"/>
      <c r="M529" s="4"/>
    </row>
    <row r="530" spans="3:13" x14ac:dyDescent="0.25">
      <c r="C530" s="113" t="s">
        <v>912</v>
      </c>
      <c r="F530" s="114" t="s">
        <v>913</v>
      </c>
      <c r="H530" s="36"/>
      <c r="I530" s="45"/>
      <c r="K530" s="26" t="s">
        <v>418</v>
      </c>
      <c r="L530" s="4"/>
      <c r="M530" s="4"/>
    </row>
    <row r="531" spans="3:13" x14ac:dyDescent="0.25">
      <c r="C531" s="115"/>
      <c r="F531" s="18" t="s">
        <v>914</v>
      </c>
      <c r="K531" s="28"/>
      <c r="L531" s="4"/>
      <c r="M531" s="4"/>
    </row>
    <row r="532" spans="3:13" ht="14.95" thickBot="1" x14ac:dyDescent="0.3">
      <c r="C532" s="116"/>
      <c r="F532" s="117" t="s">
        <v>898</v>
      </c>
      <c r="H532" s="38"/>
      <c r="I532" s="45"/>
      <c r="K532" s="29"/>
      <c r="L532" s="4"/>
      <c r="M532" s="4"/>
    </row>
    <row r="533" spans="3:13" x14ac:dyDescent="0.25">
      <c r="C533" s="113" t="s">
        <v>915</v>
      </c>
      <c r="F533" s="114" t="s">
        <v>415</v>
      </c>
      <c r="H533" s="36"/>
      <c r="I533" s="45"/>
      <c r="K533" s="26" t="s">
        <v>455</v>
      </c>
      <c r="L533" s="4"/>
      <c r="M533" s="4"/>
    </row>
    <row r="534" spans="3:13" ht="14.95" thickBot="1" x14ac:dyDescent="0.3">
      <c r="C534" s="116"/>
      <c r="F534" s="117" t="s">
        <v>916</v>
      </c>
      <c r="H534" s="38"/>
      <c r="I534" s="45"/>
      <c r="K534" s="29"/>
      <c r="L534" s="4"/>
      <c r="M534" s="4"/>
    </row>
    <row r="535" spans="3:13" x14ac:dyDescent="0.25">
      <c r="C535" s="113" t="s">
        <v>917</v>
      </c>
      <c r="F535" s="114" t="s">
        <v>918</v>
      </c>
      <c r="H535" s="36"/>
      <c r="I535" s="45"/>
      <c r="K535" s="26" t="s">
        <v>919</v>
      </c>
      <c r="L535" s="4"/>
      <c r="M535" s="4"/>
    </row>
    <row r="536" spans="3:13" x14ac:dyDescent="0.25">
      <c r="C536" s="115"/>
      <c r="F536" s="18" t="s">
        <v>920</v>
      </c>
      <c r="K536" s="28"/>
      <c r="L536" s="4"/>
      <c r="M536" s="4"/>
    </row>
    <row r="537" spans="3:13" ht="14.95" thickBot="1" x14ac:dyDescent="0.3">
      <c r="C537" s="116"/>
      <c r="F537" s="117" t="s">
        <v>921</v>
      </c>
      <c r="H537" s="38"/>
      <c r="I537" s="45"/>
      <c r="K537" s="29"/>
      <c r="L537" s="4"/>
      <c r="M537" s="4"/>
    </row>
    <row r="538" spans="3:13" x14ac:dyDescent="0.25">
      <c r="C538" s="113" t="s">
        <v>922</v>
      </c>
      <c r="F538" s="114" t="s">
        <v>435</v>
      </c>
      <c r="H538" s="36"/>
      <c r="I538" s="45"/>
      <c r="K538" s="26" t="s">
        <v>923</v>
      </c>
      <c r="L538" s="4"/>
      <c r="M538" s="4"/>
    </row>
    <row r="539" spans="3:13" x14ac:dyDescent="0.25">
      <c r="C539" s="115"/>
      <c r="F539" s="18" t="s">
        <v>924</v>
      </c>
      <c r="K539" s="28" t="s">
        <v>925</v>
      </c>
      <c r="L539" s="4"/>
      <c r="M539" s="4"/>
    </row>
    <row r="540" spans="3:13" x14ac:dyDescent="0.25">
      <c r="C540" s="115"/>
      <c r="F540" s="18" t="s">
        <v>926</v>
      </c>
      <c r="K540" s="28"/>
      <c r="L540" s="4"/>
      <c r="M540" s="4"/>
    </row>
    <row r="541" spans="3:13" x14ac:dyDescent="0.25">
      <c r="C541" s="115"/>
      <c r="F541" s="18" t="s">
        <v>435</v>
      </c>
      <c r="K541" s="28"/>
      <c r="L541" s="4"/>
      <c r="M541" s="4"/>
    </row>
    <row r="542" spans="3:13" x14ac:dyDescent="0.25">
      <c r="C542" s="115"/>
      <c r="F542" s="18" t="s">
        <v>927</v>
      </c>
      <c r="K542" s="28"/>
      <c r="L542" s="4"/>
      <c r="M542" s="4"/>
    </row>
    <row r="543" spans="3:13" x14ac:dyDescent="0.25">
      <c r="C543" s="115"/>
      <c r="F543" s="18" t="s">
        <v>928</v>
      </c>
      <c r="K543" s="28"/>
      <c r="L543" s="4"/>
      <c r="M543" s="4"/>
    </row>
    <row r="544" spans="3:13" x14ac:dyDescent="0.25">
      <c r="C544" s="115"/>
      <c r="F544" s="18" t="s">
        <v>435</v>
      </c>
      <c r="K544" s="28"/>
      <c r="L544" s="4"/>
      <c r="M544" s="4"/>
    </row>
    <row r="545" spans="3:13" ht="14.95" thickBot="1" x14ac:dyDescent="0.3">
      <c r="C545" s="116"/>
      <c r="F545" s="117" t="s">
        <v>929</v>
      </c>
      <c r="H545" s="38"/>
      <c r="I545" s="45"/>
      <c r="K545" s="29"/>
      <c r="L545" s="4"/>
      <c r="M545" s="4"/>
    </row>
    <row r="546" spans="3:13" x14ac:dyDescent="0.25">
      <c r="C546" s="113" t="s">
        <v>930</v>
      </c>
      <c r="F546" s="114" t="s">
        <v>931</v>
      </c>
      <c r="H546" s="36"/>
      <c r="I546" s="45"/>
      <c r="K546" s="26" t="s">
        <v>413</v>
      </c>
      <c r="L546" s="4"/>
      <c r="M546" s="4"/>
    </row>
    <row r="547" spans="3:13" x14ac:dyDescent="0.25">
      <c r="C547" s="115"/>
      <c r="F547" s="18" t="s">
        <v>932</v>
      </c>
      <c r="K547" s="28"/>
      <c r="L547" s="4"/>
      <c r="M547" s="4"/>
    </row>
    <row r="548" spans="3:13" ht="14.95" thickBot="1" x14ac:dyDescent="0.3">
      <c r="C548" s="116"/>
      <c r="F548" s="117" t="s">
        <v>415</v>
      </c>
      <c r="H548" s="38"/>
      <c r="I548" s="45"/>
      <c r="K548" s="29"/>
      <c r="L548" s="4"/>
      <c r="M548" s="4"/>
    </row>
    <row r="549" spans="3:13" x14ac:dyDescent="0.25">
      <c r="C549" s="113" t="s">
        <v>933</v>
      </c>
      <c r="F549" s="114" t="s">
        <v>934</v>
      </c>
      <c r="H549" s="36"/>
      <c r="I549" s="45"/>
      <c r="K549" s="26" t="s">
        <v>413</v>
      </c>
      <c r="L549" s="4"/>
      <c r="M549" s="4"/>
    </row>
    <row r="550" spans="3:13" ht="14.95" thickBot="1" x14ac:dyDescent="0.3">
      <c r="C550" s="116"/>
      <c r="F550" s="117" t="s">
        <v>935</v>
      </c>
      <c r="H550" s="38"/>
      <c r="I550" s="45"/>
      <c r="K550" s="29"/>
      <c r="L550" s="4"/>
      <c r="M550" s="4"/>
    </row>
    <row r="551" spans="3:13" x14ac:dyDescent="0.25">
      <c r="C551" s="113" t="s">
        <v>936</v>
      </c>
      <c r="F551" s="114" t="s">
        <v>897</v>
      </c>
      <c r="H551" s="36"/>
      <c r="I551" s="45"/>
      <c r="K551" s="26" t="s">
        <v>413</v>
      </c>
      <c r="L551" s="4"/>
      <c r="M551" s="4"/>
    </row>
    <row r="552" spans="3:13" x14ac:dyDescent="0.25">
      <c r="C552" s="115"/>
      <c r="F552" s="18" t="s">
        <v>729</v>
      </c>
      <c r="K552" s="28"/>
      <c r="L552" s="4"/>
      <c r="M552" s="4"/>
    </row>
    <row r="553" spans="3:13" ht="14.95" thickBot="1" x14ac:dyDescent="0.3">
      <c r="C553" s="116"/>
      <c r="F553" s="117" t="s">
        <v>937</v>
      </c>
      <c r="H553" s="38"/>
      <c r="I553" s="45"/>
      <c r="K553" s="29"/>
      <c r="L553" s="4"/>
      <c r="M553" s="4"/>
    </row>
    <row r="554" spans="3:13" x14ac:dyDescent="0.25">
      <c r="C554" s="113" t="s">
        <v>938</v>
      </c>
      <c r="F554" s="114" t="s">
        <v>939</v>
      </c>
      <c r="H554" s="36"/>
      <c r="I554" s="45"/>
      <c r="K554" s="26" t="s">
        <v>429</v>
      </c>
      <c r="L554" s="4"/>
      <c r="M554" s="4"/>
    </row>
    <row r="555" spans="3:13" x14ac:dyDescent="0.25">
      <c r="C555" s="115"/>
      <c r="F555" s="18" t="s">
        <v>940</v>
      </c>
      <c r="K555" s="28"/>
      <c r="L555" s="4"/>
      <c r="M555" s="4"/>
    </row>
    <row r="556" spans="3:13" ht="14.95" thickBot="1" x14ac:dyDescent="0.3">
      <c r="C556" s="116"/>
      <c r="F556" s="117" t="s">
        <v>941</v>
      </c>
      <c r="H556" s="38"/>
      <c r="I556" s="45"/>
      <c r="K556" s="29"/>
      <c r="L556" s="4"/>
      <c r="M556" s="4"/>
    </row>
    <row r="557" spans="3:13" x14ac:dyDescent="0.25">
      <c r="C557" s="113" t="s">
        <v>942</v>
      </c>
      <c r="F557" s="114" t="s">
        <v>943</v>
      </c>
      <c r="H557" s="36"/>
      <c r="I557" s="45"/>
      <c r="K557" s="26" t="s">
        <v>944</v>
      </c>
      <c r="L557" s="4"/>
      <c r="M557" s="4"/>
    </row>
    <row r="558" spans="3:13" x14ac:dyDescent="0.25">
      <c r="C558" s="115"/>
      <c r="F558" s="18" t="s">
        <v>945</v>
      </c>
      <c r="K558" s="28"/>
      <c r="L558" s="4"/>
      <c r="M558" s="4"/>
    </row>
    <row r="559" spans="3:13" ht="14.95" thickBot="1" x14ac:dyDescent="0.3">
      <c r="C559" s="116"/>
      <c r="F559" s="117" t="s">
        <v>946</v>
      </c>
      <c r="H559" s="38"/>
      <c r="I559" s="45"/>
      <c r="K559" s="29"/>
      <c r="L559" s="4"/>
      <c r="M559" s="4"/>
    </row>
    <row r="560" spans="3:13" ht="28.55" x14ac:dyDescent="0.25">
      <c r="C560" s="118" t="s">
        <v>947</v>
      </c>
      <c r="F560" s="114" t="s">
        <v>948</v>
      </c>
      <c r="H560" s="36"/>
      <c r="I560" s="45"/>
      <c r="K560" s="26" t="s">
        <v>429</v>
      </c>
      <c r="L560" s="4"/>
      <c r="M560" s="4"/>
    </row>
    <row r="561" spans="3:13" x14ac:dyDescent="0.25">
      <c r="C561" s="115"/>
      <c r="F561" s="18" t="s">
        <v>949</v>
      </c>
      <c r="K561" s="28"/>
      <c r="L561" s="4"/>
      <c r="M561" s="4"/>
    </row>
    <row r="562" spans="3:13" ht="14.95" thickBot="1" x14ac:dyDescent="0.3">
      <c r="C562" s="116"/>
      <c r="F562" s="117" t="s">
        <v>950</v>
      </c>
      <c r="H562" s="38"/>
      <c r="I562" s="45"/>
      <c r="K562" s="29"/>
      <c r="L562" s="4"/>
      <c r="M562" s="4"/>
    </row>
    <row r="563" spans="3:13" x14ac:dyDescent="0.25">
      <c r="C563" s="113" t="s">
        <v>951</v>
      </c>
      <c r="F563" s="114" t="s">
        <v>952</v>
      </c>
      <c r="H563" s="36"/>
      <c r="I563" s="45"/>
      <c r="K563" s="26" t="s">
        <v>432</v>
      </c>
      <c r="L563" s="4"/>
      <c r="M563" s="4"/>
    </row>
    <row r="564" spans="3:13" x14ac:dyDescent="0.25">
      <c r="C564" s="115"/>
      <c r="F564" s="18" t="s">
        <v>953</v>
      </c>
      <c r="K564" s="28"/>
      <c r="L564" s="4"/>
      <c r="M564" s="4"/>
    </row>
    <row r="565" spans="3:13" ht="14.95" thickBot="1" x14ac:dyDescent="0.3">
      <c r="C565" s="116"/>
      <c r="F565" s="117" t="s">
        <v>954</v>
      </c>
      <c r="H565" s="38"/>
      <c r="I565" s="45"/>
      <c r="K565" s="29"/>
      <c r="L565" s="4"/>
      <c r="M565" s="4"/>
    </row>
    <row r="566" spans="3:13" x14ac:dyDescent="0.25">
      <c r="C566" s="113" t="s">
        <v>955</v>
      </c>
      <c r="F566" s="114" t="s">
        <v>956</v>
      </c>
      <c r="H566" s="36"/>
      <c r="I566" s="45"/>
      <c r="K566" s="26" t="s">
        <v>422</v>
      </c>
      <c r="L566" s="4"/>
      <c r="M566" s="4"/>
    </row>
    <row r="567" spans="3:13" x14ac:dyDescent="0.25">
      <c r="C567" s="115"/>
      <c r="F567" s="18" t="s">
        <v>957</v>
      </c>
      <c r="K567" s="28"/>
      <c r="L567" s="4"/>
      <c r="M567" s="4"/>
    </row>
    <row r="568" spans="3:13" ht="14.95" thickBot="1" x14ac:dyDescent="0.3">
      <c r="C568" s="116"/>
      <c r="F568" s="117" t="s">
        <v>956</v>
      </c>
      <c r="H568" s="38"/>
      <c r="I568" s="45"/>
      <c r="K568" s="29"/>
      <c r="L568" s="4"/>
      <c r="M568" s="4"/>
    </row>
    <row r="569" spans="3:13" x14ac:dyDescent="0.25">
      <c r="C569" s="113" t="s">
        <v>958</v>
      </c>
      <c r="F569" s="114" t="s">
        <v>959</v>
      </c>
      <c r="H569" s="36"/>
      <c r="I569" s="45"/>
      <c r="K569" s="26" t="s">
        <v>422</v>
      </c>
      <c r="L569" s="4"/>
      <c r="M569" s="4"/>
    </row>
    <row r="570" spans="3:13" x14ac:dyDescent="0.25">
      <c r="C570" s="115"/>
      <c r="F570" s="18" t="s">
        <v>960</v>
      </c>
      <c r="K570" s="28"/>
      <c r="L570" s="4"/>
      <c r="M570" s="4"/>
    </row>
    <row r="571" spans="3:13" x14ac:dyDescent="0.25">
      <c r="C571" s="115"/>
      <c r="F571" s="18" t="s">
        <v>961</v>
      </c>
      <c r="K571" s="28"/>
      <c r="L571" s="4"/>
      <c r="M571" s="4"/>
    </row>
    <row r="572" spans="3:13" x14ac:dyDescent="0.25">
      <c r="C572" s="115"/>
      <c r="F572" s="18" t="s">
        <v>962</v>
      </c>
      <c r="K572" s="28"/>
      <c r="L572" s="4"/>
      <c r="M572" s="4"/>
    </row>
    <row r="573" spans="3:13" x14ac:dyDescent="0.25">
      <c r="C573" s="115"/>
      <c r="F573" s="18" t="s">
        <v>963</v>
      </c>
      <c r="K573" s="28"/>
      <c r="L573" s="4"/>
      <c r="M573" s="4"/>
    </row>
    <row r="574" spans="3:13" x14ac:dyDescent="0.25">
      <c r="C574" s="115"/>
      <c r="F574" s="18" t="s">
        <v>964</v>
      </c>
      <c r="K574" s="28"/>
      <c r="L574" s="4"/>
      <c r="M574" s="4"/>
    </row>
    <row r="575" spans="3:13" x14ac:dyDescent="0.25">
      <c r="C575" s="115"/>
      <c r="F575" s="18" t="s">
        <v>965</v>
      </c>
      <c r="K575" s="28"/>
      <c r="L575" s="4"/>
      <c r="M575" s="4"/>
    </row>
    <row r="576" spans="3:13" x14ac:dyDescent="0.25">
      <c r="C576" s="115"/>
      <c r="F576" s="18" t="s">
        <v>966</v>
      </c>
      <c r="K576" s="28"/>
      <c r="L576" s="4"/>
      <c r="M576" s="4"/>
    </row>
    <row r="577" spans="3:13" x14ac:dyDescent="0.25">
      <c r="C577" s="115"/>
      <c r="F577" s="18" t="s">
        <v>967</v>
      </c>
      <c r="K577" s="28"/>
      <c r="L577" s="4"/>
      <c r="M577" s="4"/>
    </row>
    <row r="578" spans="3:13" x14ac:dyDescent="0.25">
      <c r="C578" s="115"/>
      <c r="F578" s="18" t="s">
        <v>968</v>
      </c>
      <c r="K578" s="28"/>
      <c r="L578" s="4"/>
      <c r="M578" s="4"/>
    </row>
    <row r="579" spans="3:13" x14ac:dyDescent="0.25">
      <c r="C579" s="115"/>
      <c r="F579" s="18" t="s">
        <v>969</v>
      </c>
      <c r="K579" s="28"/>
      <c r="L579" s="4"/>
      <c r="M579" s="4"/>
    </row>
    <row r="580" spans="3:13" x14ac:dyDescent="0.25">
      <c r="C580" s="115"/>
      <c r="F580" s="18" t="s">
        <v>970</v>
      </c>
      <c r="K580" s="28"/>
      <c r="L580" s="4"/>
      <c r="M580" s="4"/>
    </row>
    <row r="581" spans="3:13" x14ac:dyDescent="0.25">
      <c r="C581" s="115"/>
      <c r="F581" s="18" t="s">
        <v>971</v>
      </c>
      <c r="K581" s="28"/>
      <c r="L581" s="4"/>
      <c r="M581" s="4"/>
    </row>
    <row r="582" spans="3:13" x14ac:dyDescent="0.25">
      <c r="C582" s="115"/>
      <c r="F582" s="18" t="s">
        <v>972</v>
      </c>
      <c r="K582" s="28"/>
      <c r="L582" s="4"/>
      <c r="M582" s="4"/>
    </row>
    <row r="583" spans="3:13" x14ac:dyDescent="0.25">
      <c r="C583" s="115"/>
      <c r="F583" s="18" t="s">
        <v>973</v>
      </c>
      <c r="K583" s="28"/>
      <c r="L583" s="4"/>
      <c r="M583" s="4"/>
    </row>
    <row r="584" spans="3:13" ht="14.95" thickBot="1" x14ac:dyDescent="0.3">
      <c r="C584" s="116"/>
      <c r="F584" s="117" t="s">
        <v>974</v>
      </c>
      <c r="H584" s="38"/>
      <c r="I584" s="45"/>
      <c r="K584" s="29"/>
      <c r="L584" s="4"/>
      <c r="M584" s="4"/>
    </row>
    <row r="585" spans="3:13" x14ac:dyDescent="0.25">
      <c r="C585" s="113" t="s">
        <v>975</v>
      </c>
      <c r="F585" s="114" t="s">
        <v>976</v>
      </c>
      <c r="H585" s="36"/>
      <c r="I585" s="45"/>
      <c r="K585" s="26" t="s">
        <v>439</v>
      </c>
      <c r="L585" s="4"/>
      <c r="M585" s="4"/>
    </row>
    <row r="586" spans="3:13" ht="14.95" thickBot="1" x14ac:dyDescent="0.3">
      <c r="C586" s="116"/>
      <c r="F586" s="117" t="s">
        <v>780</v>
      </c>
      <c r="H586" s="38"/>
      <c r="I586" s="45"/>
      <c r="K586" s="29"/>
      <c r="L586" s="4"/>
      <c r="M586" s="4"/>
    </row>
    <row r="587" spans="3:13" x14ac:dyDescent="0.25">
      <c r="C587" s="113" t="s">
        <v>977</v>
      </c>
      <c r="F587" s="114" t="s">
        <v>978</v>
      </c>
      <c r="H587" s="36"/>
      <c r="I587" s="45"/>
      <c r="K587" s="26" t="s">
        <v>439</v>
      </c>
      <c r="L587" s="4"/>
      <c r="M587" s="4"/>
    </row>
    <row r="588" spans="3:13" ht="14.95" thickBot="1" x14ac:dyDescent="0.3">
      <c r="C588" s="116"/>
      <c r="F588" s="117" t="s">
        <v>979</v>
      </c>
      <c r="H588" s="38"/>
      <c r="I588" s="45"/>
      <c r="K588" s="29"/>
      <c r="L588" s="4"/>
      <c r="M588" s="4"/>
    </row>
    <row r="589" spans="3:13" x14ac:dyDescent="0.25">
      <c r="C589" s="113" t="s">
        <v>980</v>
      </c>
      <c r="F589" s="114" t="s">
        <v>981</v>
      </c>
      <c r="H589" s="36"/>
      <c r="I589" s="45"/>
      <c r="K589" s="26" t="s">
        <v>439</v>
      </c>
      <c r="L589" s="4"/>
      <c r="M589" s="4"/>
    </row>
    <row r="590" spans="3:13" ht="14.95" thickBot="1" x14ac:dyDescent="0.3">
      <c r="C590" s="116"/>
      <c r="F590" s="117" t="s">
        <v>796</v>
      </c>
      <c r="H590" s="38"/>
      <c r="I590" s="45"/>
      <c r="K590" s="29"/>
      <c r="L590" s="4"/>
      <c r="M590" s="4"/>
    </row>
  </sheetData>
  <mergeCells count="1">
    <mergeCell ref="C1:D1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FCBB0-3133-4AEA-83B0-60FAA7CC6074}">
  <sheetPr>
    <tabColor theme="3"/>
  </sheetPr>
  <dimension ref="A1:M245"/>
  <sheetViews>
    <sheetView zoomScale="85" zoomScaleNormal="85" workbookViewId="0">
      <pane ySplit="2" topLeftCell="A63" activePane="bottomLeft" state="frozen"/>
      <selection pane="bottomLeft" activeCell="G80" sqref="G80"/>
    </sheetView>
  </sheetViews>
  <sheetFormatPr defaultRowHeight="14.3" x14ac:dyDescent="0.25"/>
  <cols>
    <col min="1" max="1" width="30.625" customWidth="1"/>
    <col min="2" max="2" width="30.625" style="20" customWidth="1"/>
    <col min="3" max="3" width="30.625" customWidth="1"/>
    <col min="4" max="4" width="2.125" style="21" customWidth="1"/>
    <col min="5" max="5" width="30.625" style="18" customWidth="1"/>
    <col min="6" max="6" width="2.125" style="197" customWidth="1"/>
    <col min="7" max="7" width="28.75" customWidth="1"/>
    <col min="8" max="8" width="2.125" style="21" customWidth="1"/>
    <col min="9" max="9" width="30.625" customWidth="1"/>
    <col min="10" max="10" width="26" customWidth="1"/>
    <col min="11" max="11" width="20.625" customWidth="1"/>
    <col min="12" max="12" width="16.875" customWidth="1"/>
    <col min="13" max="13" width="15.875" bestFit="1" customWidth="1"/>
  </cols>
  <sheetData>
    <row r="1" spans="1:13" ht="16.3" x14ac:dyDescent="0.3">
      <c r="A1" s="133" t="s">
        <v>1</v>
      </c>
      <c r="B1" s="252" t="s">
        <v>4</v>
      </c>
      <c r="C1" s="252"/>
      <c r="D1" s="199"/>
      <c r="E1" s="215"/>
      <c r="F1" s="198"/>
      <c r="G1" s="134"/>
      <c r="H1" s="193"/>
      <c r="I1" s="135"/>
      <c r="J1" s="136"/>
    </row>
    <row r="2" spans="1:13" ht="16.3" x14ac:dyDescent="0.3">
      <c r="A2" s="253" t="s">
        <v>1002</v>
      </c>
      <c r="B2" s="137" t="s">
        <v>984</v>
      </c>
      <c r="C2" s="137" t="s">
        <v>985</v>
      </c>
      <c r="D2" s="200"/>
      <c r="E2" s="216" t="s">
        <v>986</v>
      </c>
      <c r="F2" s="198"/>
      <c r="G2" s="138" t="s">
        <v>987</v>
      </c>
      <c r="H2" s="194"/>
      <c r="I2" s="139" t="s">
        <v>645</v>
      </c>
      <c r="J2" s="140" t="s">
        <v>646</v>
      </c>
    </row>
    <row r="3" spans="1:13" ht="18.350000000000001" x14ac:dyDescent="0.3">
      <c r="A3" s="254"/>
      <c r="B3" s="143">
        <v>11.1</v>
      </c>
      <c r="C3" s="71" t="s">
        <v>2</v>
      </c>
      <c r="D3" s="201"/>
      <c r="E3" s="77" t="s">
        <v>158</v>
      </c>
      <c r="F3" s="195"/>
      <c r="G3" s="144">
        <v>30</v>
      </c>
      <c r="H3" s="195"/>
      <c r="I3" s="71" t="s">
        <v>1066</v>
      </c>
      <c r="J3" s="74"/>
      <c r="L3" s="132"/>
      <c r="M3" s="131"/>
    </row>
    <row r="4" spans="1:13" x14ac:dyDescent="0.25">
      <c r="A4" s="254"/>
      <c r="B4" s="145"/>
      <c r="C4" s="72"/>
      <c r="D4" s="202"/>
      <c r="E4" s="79" t="s">
        <v>543</v>
      </c>
      <c r="F4" s="196"/>
      <c r="G4" s="146">
        <v>15</v>
      </c>
      <c r="H4" s="196"/>
      <c r="I4" s="72"/>
      <c r="J4" s="147"/>
    </row>
    <row r="5" spans="1:13" x14ac:dyDescent="0.25">
      <c r="A5" s="254"/>
      <c r="B5" s="143">
        <v>11.2</v>
      </c>
      <c r="C5" s="71" t="s">
        <v>2</v>
      </c>
      <c r="D5" s="201"/>
      <c r="E5" s="77" t="s">
        <v>556</v>
      </c>
      <c r="F5" s="195"/>
      <c r="G5" s="144">
        <v>9</v>
      </c>
      <c r="H5" s="195"/>
      <c r="I5" s="71" t="s">
        <v>1080</v>
      </c>
      <c r="J5" s="74"/>
    </row>
    <row r="6" spans="1:13" x14ac:dyDescent="0.25">
      <c r="A6" s="254"/>
      <c r="B6" s="159"/>
      <c r="C6" s="27"/>
      <c r="D6" s="44"/>
      <c r="E6" s="78" t="s">
        <v>1003</v>
      </c>
      <c r="F6" s="45"/>
      <c r="G6" s="37">
        <v>12</v>
      </c>
      <c r="H6" s="45"/>
      <c r="I6" s="27"/>
      <c r="J6" s="192"/>
    </row>
    <row r="7" spans="1:13" x14ac:dyDescent="0.25">
      <c r="A7" s="254"/>
      <c r="B7" s="159"/>
      <c r="C7" s="27"/>
      <c r="D7" s="44"/>
      <c r="E7" s="78" t="s">
        <v>1004</v>
      </c>
      <c r="F7" s="45"/>
      <c r="G7" s="37">
        <v>15</v>
      </c>
      <c r="H7" s="45"/>
      <c r="I7" s="27"/>
      <c r="J7" s="192"/>
    </row>
    <row r="8" spans="1:13" x14ac:dyDescent="0.25">
      <c r="A8" s="254"/>
      <c r="B8" s="145"/>
      <c r="C8" s="72"/>
      <c r="D8" s="202"/>
      <c r="E8" s="79"/>
      <c r="F8" s="196"/>
      <c r="G8" s="146"/>
      <c r="H8" s="196"/>
      <c r="I8" s="72"/>
      <c r="J8" s="147"/>
    </row>
    <row r="9" spans="1:13" x14ac:dyDescent="0.25">
      <c r="A9" s="254"/>
      <c r="B9" s="143">
        <v>11.3</v>
      </c>
      <c r="C9" s="71"/>
      <c r="D9" s="201"/>
      <c r="E9" s="77" t="s">
        <v>1005</v>
      </c>
      <c r="F9" s="195"/>
      <c r="G9" s="144">
        <v>1</v>
      </c>
      <c r="H9" s="195"/>
      <c r="I9" s="71" t="s">
        <v>1071</v>
      </c>
      <c r="J9" s="74"/>
    </row>
    <row r="10" spans="1:13" x14ac:dyDescent="0.25">
      <c r="A10" s="254"/>
      <c r="B10" s="145"/>
      <c r="C10" s="72"/>
      <c r="D10" s="202"/>
      <c r="E10" s="79" t="s">
        <v>1006</v>
      </c>
      <c r="F10" s="196"/>
      <c r="G10" s="146">
        <v>1</v>
      </c>
      <c r="H10" s="196"/>
      <c r="I10" s="72"/>
      <c r="J10" s="147"/>
    </row>
    <row r="11" spans="1:13" x14ac:dyDescent="0.25">
      <c r="A11" s="254"/>
      <c r="B11" s="143">
        <v>11.4</v>
      </c>
      <c r="C11" s="71"/>
      <c r="D11" s="201"/>
      <c r="E11" s="77" t="s">
        <v>1007</v>
      </c>
      <c r="F11" s="195"/>
      <c r="G11" s="144">
        <v>60</v>
      </c>
      <c r="H11" s="195"/>
      <c r="I11" s="71" t="s">
        <v>1066</v>
      </c>
      <c r="J11" s="74"/>
    </row>
    <row r="12" spans="1:13" x14ac:dyDescent="0.25">
      <c r="A12" s="254"/>
      <c r="B12" s="159"/>
      <c r="C12" s="27"/>
      <c r="D12" s="44"/>
      <c r="E12" s="78" t="s">
        <v>266</v>
      </c>
      <c r="F12" s="45"/>
      <c r="G12" s="37">
        <v>30</v>
      </c>
      <c r="H12" s="45"/>
      <c r="I12" s="27"/>
      <c r="J12" s="192"/>
    </row>
    <row r="13" spans="1:13" x14ac:dyDescent="0.25">
      <c r="A13" s="254"/>
      <c r="B13" s="145"/>
      <c r="C13" s="72"/>
      <c r="D13" s="202"/>
      <c r="E13" s="79" t="s">
        <v>568</v>
      </c>
      <c r="F13" s="196"/>
      <c r="G13" s="146">
        <v>10</v>
      </c>
      <c r="H13" s="196"/>
      <c r="I13" s="72"/>
      <c r="J13" s="147"/>
    </row>
    <row r="14" spans="1:13" x14ac:dyDescent="0.25">
      <c r="A14" s="254"/>
      <c r="B14" s="143">
        <v>11.5</v>
      </c>
      <c r="C14" s="71"/>
      <c r="D14" s="201"/>
      <c r="E14" s="77" t="s">
        <v>587</v>
      </c>
      <c r="F14" s="195"/>
      <c r="G14" s="144">
        <v>5</v>
      </c>
      <c r="H14" s="195"/>
      <c r="I14" s="71" t="s">
        <v>989</v>
      </c>
      <c r="J14" s="74"/>
    </row>
    <row r="15" spans="1:13" x14ac:dyDescent="0.25">
      <c r="A15" s="254"/>
      <c r="B15" s="159"/>
      <c r="C15" s="27"/>
      <c r="D15" s="44"/>
      <c r="E15" s="78" t="s">
        <v>1008</v>
      </c>
      <c r="F15" s="45"/>
      <c r="G15" s="37">
        <v>10</v>
      </c>
      <c r="H15" s="45"/>
      <c r="I15" s="27"/>
      <c r="J15" s="192"/>
    </row>
    <row r="16" spans="1:13" x14ac:dyDescent="0.25">
      <c r="A16" s="254"/>
      <c r="B16" s="145"/>
      <c r="C16" s="72"/>
      <c r="D16" s="202"/>
      <c r="E16" s="79" t="s">
        <v>1009</v>
      </c>
      <c r="F16" s="196"/>
      <c r="G16" s="146">
        <v>15</v>
      </c>
      <c r="H16" s="196"/>
      <c r="I16" s="72"/>
      <c r="J16" s="147"/>
    </row>
    <row r="17" spans="1:10" x14ac:dyDescent="0.25">
      <c r="A17" s="254"/>
      <c r="B17" s="61">
        <v>12.1</v>
      </c>
      <c r="C17" s="203"/>
      <c r="D17" s="204"/>
      <c r="E17" s="153" t="s">
        <v>146</v>
      </c>
      <c r="F17" s="162"/>
      <c r="G17" s="161"/>
      <c r="H17" s="162"/>
      <c r="I17" s="203" t="s">
        <v>1073</v>
      </c>
      <c r="J17" s="205"/>
    </row>
    <row r="18" spans="1:10" x14ac:dyDescent="0.25">
      <c r="A18" s="254"/>
      <c r="B18" s="143">
        <v>12.2</v>
      </c>
      <c r="C18" s="206"/>
      <c r="D18" s="207"/>
      <c r="E18" s="77" t="s">
        <v>543</v>
      </c>
      <c r="F18" s="195"/>
      <c r="G18" s="144">
        <v>30</v>
      </c>
      <c r="H18" s="195"/>
      <c r="I18" s="71" t="s">
        <v>1066</v>
      </c>
      <c r="J18" s="74"/>
    </row>
    <row r="19" spans="1:10" x14ac:dyDescent="0.25">
      <c r="A19" s="254"/>
      <c r="B19" s="159"/>
      <c r="C19" s="27"/>
      <c r="D19" s="44"/>
      <c r="E19" s="78" t="s">
        <v>543</v>
      </c>
      <c r="F19" s="45"/>
      <c r="G19" s="37">
        <v>30</v>
      </c>
      <c r="H19" s="45"/>
      <c r="I19" s="27"/>
      <c r="J19" s="192"/>
    </row>
    <row r="20" spans="1:10" x14ac:dyDescent="0.25">
      <c r="A20" s="254"/>
      <c r="B20" s="159"/>
      <c r="C20" s="27"/>
      <c r="D20" s="44"/>
      <c r="E20" s="78" t="s">
        <v>543</v>
      </c>
      <c r="F20" s="45"/>
      <c r="G20" s="37">
        <v>30</v>
      </c>
      <c r="H20" s="45"/>
      <c r="I20" s="27"/>
      <c r="J20" s="192"/>
    </row>
    <row r="21" spans="1:10" x14ac:dyDescent="0.25">
      <c r="A21" s="254"/>
      <c r="B21" s="145"/>
      <c r="C21" s="72"/>
      <c r="D21" s="202"/>
      <c r="E21" s="79" t="s">
        <v>1010</v>
      </c>
      <c r="F21" s="196"/>
      <c r="G21" s="146"/>
      <c r="H21" s="196"/>
      <c r="I21" s="72"/>
      <c r="J21" s="147"/>
    </row>
    <row r="22" spans="1:10" x14ac:dyDescent="0.25">
      <c r="A22" s="254"/>
      <c r="B22" s="143">
        <v>12.3</v>
      </c>
      <c r="C22" s="71"/>
      <c r="D22" s="201"/>
      <c r="E22" s="77" t="s">
        <v>531</v>
      </c>
      <c r="F22" s="195"/>
      <c r="G22" s="144">
        <v>15</v>
      </c>
      <c r="H22" s="195"/>
      <c r="I22" s="71" t="s">
        <v>1083</v>
      </c>
      <c r="J22" s="74" t="s">
        <v>216</v>
      </c>
    </row>
    <row r="23" spans="1:10" x14ac:dyDescent="0.25">
      <c r="A23" s="254"/>
      <c r="B23" s="159"/>
      <c r="C23" s="27"/>
      <c r="D23" s="44"/>
      <c r="E23" s="78" t="s">
        <v>1011</v>
      </c>
      <c r="F23" s="45"/>
      <c r="G23" s="37">
        <v>12</v>
      </c>
      <c r="H23" s="45"/>
      <c r="I23" s="27"/>
      <c r="J23" s="192"/>
    </row>
    <row r="24" spans="1:10" x14ac:dyDescent="0.25">
      <c r="A24" s="254"/>
      <c r="B24" s="145"/>
      <c r="C24" s="72"/>
      <c r="D24" s="202"/>
      <c r="E24" s="79" t="s">
        <v>1012</v>
      </c>
      <c r="F24" s="196"/>
      <c r="G24" s="146">
        <v>9</v>
      </c>
      <c r="H24" s="196"/>
      <c r="I24" s="72"/>
      <c r="J24" s="147"/>
    </row>
    <row r="25" spans="1:10" x14ac:dyDescent="0.25">
      <c r="A25" s="254"/>
      <c r="B25" s="143">
        <v>12.4</v>
      </c>
      <c r="C25" s="71"/>
      <c r="D25" s="201"/>
      <c r="E25" s="77" t="s">
        <v>1009</v>
      </c>
      <c r="F25" s="195"/>
      <c r="G25" s="144">
        <v>150</v>
      </c>
      <c r="H25" s="195"/>
      <c r="I25" s="71" t="s">
        <v>1077</v>
      </c>
      <c r="J25" s="74" t="s">
        <v>220</v>
      </c>
    </row>
    <row r="26" spans="1:10" x14ac:dyDescent="0.25">
      <c r="A26" s="254"/>
      <c r="B26" s="159"/>
      <c r="C26" s="27"/>
      <c r="D26" s="44"/>
      <c r="E26" s="78" t="s">
        <v>158</v>
      </c>
      <c r="F26" s="45"/>
      <c r="G26" s="37">
        <v>90</v>
      </c>
      <c r="H26" s="45"/>
      <c r="I26" s="27"/>
      <c r="J26" s="192"/>
    </row>
    <row r="27" spans="1:10" x14ac:dyDescent="0.25">
      <c r="A27" s="254"/>
      <c r="B27" s="145"/>
      <c r="C27" s="72"/>
      <c r="D27" s="202"/>
      <c r="E27" s="79" t="s">
        <v>568</v>
      </c>
      <c r="F27" s="196"/>
      <c r="G27" s="146">
        <v>30</v>
      </c>
      <c r="H27" s="196"/>
      <c r="I27" s="72"/>
      <c r="J27" s="147"/>
    </row>
    <row r="28" spans="1:10" x14ac:dyDescent="0.25">
      <c r="A28" s="254"/>
      <c r="B28" s="143">
        <v>12.5</v>
      </c>
      <c r="C28" s="71"/>
      <c r="D28" s="201"/>
      <c r="E28" s="77" t="s">
        <v>285</v>
      </c>
      <c r="F28" s="195"/>
      <c r="G28" s="213" t="s">
        <v>1301</v>
      </c>
      <c r="H28" s="195"/>
      <c r="I28" s="71" t="s">
        <v>982</v>
      </c>
      <c r="J28" s="74"/>
    </row>
    <row r="29" spans="1:10" x14ac:dyDescent="0.25">
      <c r="A29" s="254"/>
      <c r="B29" s="145"/>
      <c r="C29" s="72"/>
      <c r="D29" s="202"/>
      <c r="E29" s="79" t="s">
        <v>222</v>
      </c>
      <c r="F29" s="196"/>
      <c r="G29" s="214" t="s">
        <v>1301</v>
      </c>
      <c r="H29" s="196"/>
      <c r="I29" s="72"/>
      <c r="J29" s="147"/>
    </row>
    <row r="30" spans="1:10" x14ac:dyDescent="0.25">
      <c r="A30" s="254"/>
      <c r="B30" s="143">
        <v>13.1</v>
      </c>
      <c r="C30" s="71"/>
      <c r="D30" s="201"/>
      <c r="E30" s="77" t="s">
        <v>146</v>
      </c>
      <c r="F30" s="195"/>
      <c r="G30" s="144">
        <v>40</v>
      </c>
      <c r="H30" s="195"/>
      <c r="I30" s="71" t="s">
        <v>1082</v>
      </c>
      <c r="J30" s="74"/>
    </row>
    <row r="31" spans="1:10" x14ac:dyDescent="0.25">
      <c r="A31" s="254"/>
      <c r="B31" s="159"/>
      <c r="C31" s="27"/>
      <c r="D31" s="44"/>
      <c r="E31" s="78" t="s">
        <v>1013</v>
      </c>
      <c r="F31" s="45"/>
      <c r="G31" s="37">
        <v>30</v>
      </c>
      <c r="H31" s="45"/>
      <c r="I31" s="27"/>
      <c r="J31" s="192"/>
    </row>
    <row r="32" spans="1:10" x14ac:dyDescent="0.25">
      <c r="A32" s="254"/>
      <c r="B32" s="159"/>
      <c r="C32" s="27"/>
      <c r="D32" s="44"/>
      <c r="E32" s="78" t="s">
        <v>146</v>
      </c>
      <c r="F32" s="45"/>
      <c r="G32" s="37">
        <v>30</v>
      </c>
      <c r="H32" s="45"/>
      <c r="I32" s="27"/>
      <c r="J32" s="192"/>
    </row>
    <row r="33" spans="1:10" x14ac:dyDescent="0.25">
      <c r="A33" s="254"/>
      <c r="B33" s="159"/>
      <c r="C33" s="27"/>
      <c r="D33" s="44"/>
      <c r="E33" s="78" t="s">
        <v>1013</v>
      </c>
      <c r="F33" s="45"/>
      <c r="G33" s="37">
        <v>30</v>
      </c>
      <c r="H33" s="45"/>
      <c r="I33" s="27"/>
      <c r="J33" s="192"/>
    </row>
    <row r="34" spans="1:10" x14ac:dyDescent="0.25">
      <c r="A34" s="254"/>
      <c r="B34" s="159"/>
      <c r="C34" s="27"/>
      <c r="D34" s="44"/>
      <c r="E34" s="78" t="s">
        <v>146</v>
      </c>
      <c r="F34" s="45"/>
      <c r="G34" s="37">
        <v>20</v>
      </c>
      <c r="H34" s="45"/>
      <c r="I34" s="27"/>
      <c r="J34" s="192"/>
    </row>
    <row r="35" spans="1:10" x14ac:dyDescent="0.25">
      <c r="A35" s="254"/>
      <c r="B35" s="159"/>
      <c r="C35" s="27"/>
      <c r="D35" s="44"/>
      <c r="E35" s="78" t="s">
        <v>1013</v>
      </c>
      <c r="F35" s="45"/>
      <c r="G35" s="37">
        <v>30</v>
      </c>
      <c r="H35" s="45"/>
      <c r="I35" s="27"/>
      <c r="J35" s="192"/>
    </row>
    <row r="36" spans="1:10" x14ac:dyDescent="0.25">
      <c r="A36" s="254"/>
      <c r="B36" s="159"/>
      <c r="C36" s="27"/>
      <c r="D36" s="44"/>
      <c r="E36" s="78" t="s">
        <v>146</v>
      </c>
      <c r="F36" s="45"/>
      <c r="G36" s="37">
        <v>10</v>
      </c>
      <c r="H36" s="45"/>
      <c r="I36" s="27"/>
      <c r="J36" s="192"/>
    </row>
    <row r="37" spans="1:10" x14ac:dyDescent="0.25">
      <c r="A37" s="254"/>
      <c r="B37" s="145"/>
      <c r="C37" s="72"/>
      <c r="D37" s="202"/>
      <c r="E37" s="79" t="s">
        <v>1014</v>
      </c>
      <c r="F37" s="196"/>
      <c r="G37" s="146"/>
      <c r="H37" s="196"/>
      <c r="I37" s="72"/>
      <c r="J37" s="147"/>
    </row>
    <row r="38" spans="1:10" x14ac:dyDescent="0.25">
      <c r="A38" s="254"/>
      <c r="B38" s="143">
        <v>13.2</v>
      </c>
      <c r="C38" s="71"/>
      <c r="D38" s="201"/>
      <c r="E38" s="77" t="s">
        <v>1015</v>
      </c>
      <c r="F38" s="195"/>
      <c r="G38" s="144">
        <v>5</v>
      </c>
      <c r="H38" s="195"/>
      <c r="I38" s="71" t="s">
        <v>1066</v>
      </c>
      <c r="J38" s="74"/>
    </row>
    <row r="39" spans="1:10" x14ac:dyDescent="0.25">
      <c r="A39" s="254"/>
      <c r="B39" s="159"/>
      <c r="C39" s="27"/>
      <c r="D39" s="44"/>
      <c r="E39" s="78" t="s">
        <v>556</v>
      </c>
      <c r="F39" s="45"/>
      <c r="G39" s="37">
        <v>10</v>
      </c>
      <c r="H39" s="45"/>
      <c r="I39" s="27"/>
      <c r="J39" s="192"/>
    </row>
    <row r="40" spans="1:10" x14ac:dyDescent="0.25">
      <c r="A40" s="254"/>
      <c r="B40" s="145"/>
      <c r="C40" s="72"/>
      <c r="D40" s="202"/>
      <c r="E40" s="79" t="s">
        <v>531</v>
      </c>
      <c r="F40" s="196"/>
      <c r="G40" s="146">
        <v>15</v>
      </c>
      <c r="H40" s="196"/>
      <c r="I40" s="72"/>
      <c r="J40" s="147"/>
    </row>
    <row r="41" spans="1:10" x14ac:dyDescent="0.25">
      <c r="A41" s="254"/>
      <c r="B41" s="143">
        <v>13.3</v>
      </c>
      <c r="C41" s="71"/>
      <c r="D41" s="201"/>
      <c r="E41" s="77" t="s">
        <v>1009</v>
      </c>
      <c r="F41" s="195"/>
      <c r="G41" s="144">
        <v>150</v>
      </c>
      <c r="H41" s="195"/>
      <c r="I41" s="71" t="s">
        <v>1077</v>
      </c>
      <c r="J41" s="74"/>
    </row>
    <row r="42" spans="1:10" x14ac:dyDescent="0.25">
      <c r="A42" s="254"/>
      <c r="B42" s="159"/>
      <c r="C42" s="27"/>
      <c r="D42" s="44"/>
      <c r="E42" s="78" t="s">
        <v>158</v>
      </c>
      <c r="F42" s="45"/>
      <c r="G42" s="37">
        <v>90</v>
      </c>
      <c r="H42" s="45"/>
      <c r="I42" s="27"/>
      <c r="J42" s="192"/>
    </row>
    <row r="43" spans="1:10" x14ac:dyDescent="0.25">
      <c r="A43" s="254"/>
      <c r="B43" s="159"/>
      <c r="C43" s="27"/>
      <c r="D43" s="44"/>
      <c r="E43" s="78" t="s">
        <v>568</v>
      </c>
      <c r="F43" s="45"/>
      <c r="G43" s="37">
        <v>30</v>
      </c>
      <c r="H43" s="45"/>
      <c r="I43" s="27"/>
      <c r="J43" s="192"/>
    </row>
    <row r="44" spans="1:10" x14ac:dyDescent="0.25">
      <c r="A44" s="254"/>
      <c r="B44" s="145"/>
      <c r="C44" s="72"/>
      <c r="D44" s="202"/>
      <c r="E44" s="79"/>
      <c r="F44" s="196"/>
      <c r="G44" s="146"/>
      <c r="H44" s="196"/>
      <c r="I44" s="72"/>
      <c r="J44" s="147"/>
    </row>
    <row r="45" spans="1:10" x14ac:dyDescent="0.25">
      <c r="A45" s="254"/>
      <c r="B45" s="143">
        <v>13.4</v>
      </c>
      <c r="C45" s="71"/>
      <c r="D45" s="201"/>
      <c r="E45" s="77" t="s">
        <v>235</v>
      </c>
      <c r="F45" s="195"/>
      <c r="G45" s="144"/>
      <c r="H45" s="195"/>
      <c r="I45" s="71" t="s">
        <v>1073</v>
      </c>
      <c r="J45" s="74"/>
    </row>
    <row r="46" spans="1:10" x14ac:dyDescent="0.25">
      <c r="A46" s="254"/>
      <c r="B46" s="145"/>
      <c r="C46" s="72"/>
      <c r="D46" s="202"/>
      <c r="E46" s="79" t="s">
        <v>236</v>
      </c>
      <c r="F46" s="196"/>
      <c r="G46" s="146"/>
      <c r="H46" s="196"/>
      <c r="I46" s="72"/>
      <c r="J46" s="147" t="s">
        <v>234</v>
      </c>
    </row>
    <row r="47" spans="1:10" x14ac:dyDescent="0.25">
      <c r="A47" s="254"/>
      <c r="B47" s="143">
        <v>13.5</v>
      </c>
      <c r="C47" s="206"/>
      <c r="D47" s="207"/>
      <c r="E47" s="77" t="s">
        <v>285</v>
      </c>
      <c r="F47" s="195"/>
      <c r="G47" s="144">
        <v>15</v>
      </c>
      <c r="H47" s="195"/>
      <c r="I47" s="71" t="s">
        <v>1070</v>
      </c>
      <c r="J47" s="74"/>
    </row>
    <row r="48" spans="1:10" x14ac:dyDescent="0.25">
      <c r="A48" s="254"/>
      <c r="B48" s="145"/>
      <c r="C48" s="72"/>
      <c r="D48" s="202"/>
      <c r="E48" s="79" t="s">
        <v>1016</v>
      </c>
      <c r="F48" s="196"/>
      <c r="G48" s="146">
        <v>15</v>
      </c>
      <c r="H48" s="196"/>
      <c r="I48" s="72"/>
      <c r="J48" s="147"/>
    </row>
    <row r="49" spans="1:10" x14ac:dyDescent="0.25">
      <c r="A49" s="254"/>
      <c r="B49" s="143">
        <v>14.1</v>
      </c>
      <c r="C49" s="71"/>
      <c r="D49" s="201"/>
      <c r="E49" s="77" t="s">
        <v>158</v>
      </c>
      <c r="F49" s="195"/>
      <c r="G49" s="144">
        <v>30</v>
      </c>
      <c r="H49" s="195"/>
      <c r="I49" s="71" t="s">
        <v>1069</v>
      </c>
      <c r="J49" s="74"/>
    </row>
    <row r="50" spans="1:10" x14ac:dyDescent="0.25">
      <c r="A50" s="254"/>
      <c r="B50" s="145"/>
      <c r="C50" s="72"/>
      <c r="D50" s="202"/>
      <c r="E50" s="79" t="s">
        <v>543</v>
      </c>
      <c r="F50" s="196"/>
      <c r="G50" s="146">
        <v>15</v>
      </c>
      <c r="H50" s="196"/>
      <c r="I50" s="72"/>
      <c r="J50" s="147"/>
    </row>
    <row r="51" spans="1:10" x14ac:dyDescent="0.25">
      <c r="A51" s="254"/>
      <c r="B51" s="143">
        <v>14.2</v>
      </c>
      <c r="C51" s="73" t="s">
        <v>1000</v>
      </c>
      <c r="D51" s="201"/>
      <c r="E51" s="77" t="s">
        <v>266</v>
      </c>
      <c r="F51" s="195"/>
      <c r="G51" s="144"/>
      <c r="H51" s="195"/>
      <c r="I51" s="71" t="s">
        <v>1069</v>
      </c>
      <c r="J51" s="74" t="s">
        <v>982</v>
      </c>
    </row>
    <row r="52" spans="1:10" x14ac:dyDescent="0.25">
      <c r="A52" s="254"/>
      <c r="B52" s="145"/>
      <c r="C52" s="72"/>
      <c r="D52" s="202"/>
      <c r="E52" s="79" t="s">
        <v>222</v>
      </c>
      <c r="F52" s="196"/>
      <c r="G52" s="146"/>
      <c r="H52" s="196"/>
      <c r="I52" s="72" t="s">
        <v>1302</v>
      </c>
      <c r="J52" s="147"/>
    </row>
    <row r="53" spans="1:10" x14ac:dyDescent="0.25">
      <c r="A53" s="254"/>
      <c r="B53" s="143">
        <v>14.3</v>
      </c>
      <c r="C53" s="71"/>
      <c r="D53" s="201"/>
      <c r="E53" s="77" t="s">
        <v>556</v>
      </c>
      <c r="F53" s="195"/>
      <c r="G53" s="144">
        <v>10</v>
      </c>
      <c r="H53" s="195"/>
      <c r="I53" s="71" t="s">
        <v>1074</v>
      </c>
      <c r="J53" s="74"/>
    </row>
    <row r="54" spans="1:10" x14ac:dyDescent="0.25">
      <c r="A54" s="254"/>
      <c r="B54" s="159"/>
      <c r="C54" s="27"/>
      <c r="D54" s="44"/>
      <c r="E54" s="78" t="s">
        <v>531</v>
      </c>
      <c r="F54" s="45"/>
      <c r="G54" s="37">
        <v>15</v>
      </c>
      <c r="H54" s="45"/>
      <c r="I54" s="27"/>
      <c r="J54" s="192"/>
    </row>
    <row r="55" spans="1:10" x14ac:dyDescent="0.25">
      <c r="A55" s="254"/>
      <c r="B55" s="159"/>
      <c r="C55" s="27"/>
      <c r="D55" s="44"/>
      <c r="E55" s="78" t="s">
        <v>556</v>
      </c>
      <c r="F55" s="45"/>
      <c r="G55" s="37">
        <v>15</v>
      </c>
      <c r="H55" s="45"/>
      <c r="I55" s="27"/>
      <c r="J55" s="192"/>
    </row>
    <row r="56" spans="1:10" x14ac:dyDescent="0.25">
      <c r="A56" s="254"/>
      <c r="B56" s="159"/>
      <c r="C56" s="27"/>
      <c r="D56" s="44"/>
      <c r="E56" s="78" t="s">
        <v>1004</v>
      </c>
      <c r="F56" s="45"/>
      <c r="G56" s="37">
        <v>15</v>
      </c>
      <c r="H56" s="45"/>
      <c r="I56" s="27"/>
      <c r="J56" s="192"/>
    </row>
    <row r="57" spans="1:10" x14ac:dyDescent="0.25">
      <c r="A57" s="254"/>
      <c r="B57" s="159"/>
      <c r="C57" s="27"/>
      <c r="D57" s="44"/>
      <c r="E57" s="78" t="s">
        <v>1017</v>
      </c>
      <c r="F57" s="45"/>
      <c r="G57" s="37">
        <v>20</v>
      </c>
      <c r="H57" s="45"/>
      <c r="I57" s="27"/>
      <c r="J57" s="192"/>
    </row>
    <row r="58" spans="1:10" x14ac:dyDescent="0.25">
      <c r="A58" s="254"/>
      <c r="B58" s="159"/>
      <c r="C58" s="27"/>
      <c r="D58" s="44"/>
      <c r="E58" s="78" t="s">
        <v>531</v>
      </c>
      <c r="F58" s="45"/>
      <c r="G58" s="37">
        <v>15</v>
      </c>
      <c r="H58" s="45"/>
      <c r="I58" s="27"/>
      <c r="J58" s="192"/>
    </row>
    <row r="59" spans="1:10" x14ac:dyDescent="0.25">
      <c r="A59" s="254"/>
      <c r="B59" s="159"/>
      <c r="C59" s="27"/>
      <c r="D59" s="44"/>
      <c r="E59" s="78" t="s">
        <v>1017</v>
      </c>
      <c r="F59" s="45"/>
      <c r="G59" s="37">
        <v>25</v>
      </c>
      <c r="H59" s="45"/>
      <c r="I59" s="27"/>
      <c r="J59" s="192"/>
    </row>
    <row r="60" spans="1:10" x14ac:dyDescent="0.25">
      <c r="A60" s="254"/>
      <c r="B60" s="159"/>
      <c r="C60" s="27"/>
      <c r="D60" s="44"/>
      <c r="E60" s="78" t="s">
        <v>531</v>
      </c>
      <c r="F60" s="45"/>
      <c r="G60" s="37">
        <v>15</v>
      </c>
      <c r="H60" s="45"/>
      <c r="I60" s="27"/>
      <c r="J60" s="192"/>
    </row>
    <row r="61" spans="1:10" x14ac:dyDescent="0.25">
      <c r="A61" s="254"/>
      <c r="B61" s="159"/>
      <c r="C61" s="27"/>
      <c r="D61" s="44"/>
      <c r="E61" s="78" t="s">
        <v>1017</v>
      </c>
      <c r="F61" s="45"/>
      <c r="G61" s="37">
        <v>30</v>
      </c>
      <c r="H61" s="45"/>
      <c r="I61" s="27"/>
      <c r="J61" s="192"/>
    </row>
    <row r="62" spans="1:10" x14ac:dyDescent="0.25">
      <c r="A62" s="254"/>
      <c r="B62" s="159"/>
      <c r="C62" s="27"/>
      <c r="D62" s="44"/>
      <c r="E62" s="78" t="s">
        <v>531</v>
      </c>
      <c r="F62" s="45"/>
      <c r="G62" s="37">
        <v>15</v>
      </c>
      <c r="H62" s="45"/>
      <c r="I62" s="27"/>
      <c r="J62" s="192"/>
    </row>
    <row r="63" spans="1:10" x14ac:dyDescent="0.25">
      <c r="A63" s="254"/>
      <c r="B63" s="159"/>
      <c r="C63" s="27"/>
      <c r="D63" s="44"/>
      <c r="E63" s="78" t="s">
        <v>1017</v>
      </c>
      <c r="F63" s="45"/>
      <c r="G63" s="37">
        <v>35</v>
      </c>
      <c r="H63" s="45"/>
      <c r="I63" s="27"/>
      <c r="J63" s="192"/>
    </row>
    <row r="64" spans="1:10" x14ac:dyDescent="0.25">
      <c r="A64" s="254"/>
      <c r="B64" s="145"/>
      <c r="C64" s="72"/>
      <c r="D64" s="202"/>
      <c r="E64" s="79" t="s">
        <v>1004</v>
      </c>
      <c r="F64" s="196"/>
      <c r="G64" s="146">
        <v>15</v>
      </c>
      <c r="H64" s="196"/>
      <c r="I64" s="72"/>
      <c r="J64" s="147"/>
    </row>
    <row r="65" spans="1:10" x14ac:dyDescent="0.25">
      <c r="A65" s="254"/>
      <c r="B65" s="143">
        <v>14.4</v>
      </c>
      <c r="C65" s="71"/>
      <c r="D65" s="201"/>
      <c r="E65" s="77" t="s">
        <v>1018</v>
      </c>
      <c r="F65" s="195"/>
      <c r="G65" s="144">
        <v>60</v>
      </c>
      <c r="H65" s="195"/>
      <c r="I65" s="71" t="s">
        <v>1079</v>
      </c>
      <c r="J65" s="74"/>
    </row>
    <row r="66" spans="1:10" x14ac:dyDescent="0.25">
      <c r="A66" s="254"/>
      <c r="B66" s="159"/>
      <c r="C66" s="27"/>
      <c r="D66" s="44"/>
      <c r="E66" s="78" t="s">
        <v>1019</v>
      </c>
      <c r="F66" s="45"/>
      <c r="G66" s="37">
        <v>50</v>
      </c>
      <c r="H66" s="45"/>
      <c r="I66" s="27"/>
      <c r="J66" s="192"/>
    </row>
    <row r="67" spans="1:10" x14ac:dyDescent="0.25">
      <c r="A67" s="254"/>
      <c r="B67" s="159"/>
      <c r="C67" s="27"/>
      <c r="D67" s="44"/>
      <c r="E67" s="78" t="s">
        <v>1020</v>
      </c>
      <c r="F67" s="45"/>
      <c r="G67" s="37">
        <v>40</v>
      </c>
      <c r="H67" s="45"/>
      <c r="I67" s="27"/>
      <c r="J67" s="192"/>
    </row>
    <row r="68" spans="1:10" x14ac:dyDescent="0.25">
      <c r="A68" s="254"/>
      <c r="B68" s="159"/>
      <c r="C68" s="27"/>
      <c r="D68" s="44"/>
      <c r="E68" s="78" t="s">
        <v>628</v>
      </c>
      <c r="F68" s="45"/>
      <c r="G68" s="37">
        <v>30</v>
      </c>
      <c r="H68" s="45"/>
      <c r="I68" s="27"/>
      <c r="J68" s="192"/>
    </row>
    <row r="69" spans="1:10" x14ac:dyDescent="0.25">
      <c r="A69" s="254"/>
      <c r="B69" s="145"/>
      <c r="C69" s="72"/>
      <c r="D69" s="202"/>
      <c r="E69" s="79" t="s">
        <v>568</v>
      </c>
      <c r="F69" s="196"/>
      <c r="G69" s="146">
        <v>20</v>
      </c>
      <c r="H69" s="196"/>
      <c r="I69" s="72"/>
      <c r="J69" s="147"/>
    </row>
    <row r="70" spans="1:10" x14ac:dyDescent="0.25">
      <c r="A70" s="254"/>
      <c r="B70" s="143">
        <v>14.5</v>
      </c>
      <c r="C70" s="201"/>
      <c r="D70" s="201"/>
      <c r="E70" s="77" t="s">
        <v>258</v>
      </c>
      <c r="F70" s="195"/>
      <c r="G70" s="213" t="s">
        <v>1303</v>
      </c>
      <c r="H70" s="195"/>
      <c r="I70" s="71" t="s">
        <v>982</v>
      </c>
      <c r="J70" s="208" t="s">
        <v>259</v>
      </c>
    </row>
    <row r="71" spans="1:10" x14ac:dyDescent="0.25">
      <c r="A71" s="254"/>
      <c r="B71" s="145"/>
      <c r="C71" s="202"/>
      <c r="D71" s="202"/>
      <c r="E71" s="79" t="s">
        <v>146</v>
      </c>
      <c r="F71" s="196"/>
      <c r="G71" s="214" t="s">
        <v>1304</v>
      </c>
      <c r="H71" s="196"/>
      <c r="I71" s="72"/>
      <c r="J71" s="209"/>
    </row>
    <row r="72" spans="1:10" x14ac:dyDescent="0.25">
      <c r="A72" s="254"/>
      <c r="B72" s="143">
        <v>15.1</v>
      </c>
      <c r="C72" s="71"/>
      <c r="D72" s="201"/>
      <c r="E72" s="77" t="s">
        <v>236</v>
      </c>
      <c r="F72" s="195"/>
      <c r="G72" s="144">
        <v>15</v>
      </c>
      <c r="H72" s="195"/>
      <c r="I72" s="71" t="s">
        <v>1075</v>
      </c>
      <c r="J72" s="74"/>
    </row>
    <row r="73" spans="1:10" x14ac:dyDescent="0.25">
      <c r="A73" s="254"/>
      <c r="B73" s="159"/>
      <c r="C73" s="27"/>
      <c r="D73" s="44"/>
      <c r="E73" s="78" t="s">
        <v>1017</v>
      </c>
      <c r="F73" s="45"/>
      <c r="G73" s="37">
        <v>10</v>
      </c>
      <c r="H73" s="45"/>
      <c r="I73" s="27"/>
      <c r="J73" s="192" t="s">
        <v>261</v>
      </c>
    </row>
    <row r="74" spans="1:10" x14ac:dyDescent="0.25">
      <c r="A74" s="254"/>
      <c r="B74" s="145"/>
      <c r="C74" s="72"/>
      <c r="D74" s="202"/>
      <c r="E74" s="79" t="s">
        <v>1013</v>
      </c>
      <c r="F74" s="196"/>
      <c r="G74" s="146">
        <v>5</v>
      </c>
      <c r="H74" s="196"/>
      <c r="I74" s="72"/>
      <c r="J74" s="147"/>
    </row>
    <row r="75" spans="1:10" x14ac:dyDescent="0.25">
      <c r="A75" s="254"/>
      <c r="B75" s="143"/>
      <c r="C75" s="71"/>
      <c r="D75" s="201"/>
      <c r="E75" s="77" t="s">
        <v>1021</v>
      </c>
      <c r="F75" s="195"/>
      <c r="G75" s="144">
        <v>1</v>
      </c>
      <c r="H75" s="195"/>
      <c r="I75" s="71" t="s">
        <v>1069</v>
      </c>
      <c r="J75" s="74"/>
    </row>
    <row r="76" spans="1:10" x14ac:dyDescent="0.25">
      <c r="A76" s="254"/>
      <c r="B76" s="159">
        <v>15.2</v>
      </c>
      <c r="C76" s="210"/>
      <c r="D76" s="211"/>
      <c r="E76" s="78" t="s">
        <v>266</v>
      </c>
      <c r="F76" s="45"/>
      <c r="G76" s="37"/>
      <c r="H76" s="45"/>
      <c r="I76" s="27"/>
      <c r="J76" s="192"/>
    </row>
    <row r="77" spans="1:10" x14ac:dyDescent="0.25">
      <c r="A77" s="254"/>
      <c r="B77" s="145"/>
      <c r="C77" s="72"/>
      <c r="D77" s="202"/>
      <c r="E77" s="79" t="s">
        <v>267</v>
      </c>
      <c r="F77" s="196"/>
      <c r="G77" s="146"/>
      <c r="H77" s="196"/>
      <c r="I77" s="72"/>
      <c r="J77" s="147"/>
    </row>
    <row r="78" spans="1:10" x14ac:dyDescent="0.25">
      <c r="A78" s="254"/>
      <c r="B78" s="143">
        <v>15.3</v>
      </c>
      <c r="C78" s="71"/>
      <c r="D78" s="201"/>
      <c r="E78" s="77" t="s">
        <v>568</v>
      </c>
      <c r="F78" s="195"/>
      <c r="G78" s="144">
        <v>7</v>
      </c>
      <c r="H78" s="195"/>
      <c r="I78" s="71" t="s">
        <v>1079</v>
      </c>
      <c r="J78" s="74"/>
    </row>
    <row r="79" spans="1:10" x14ac:dyDescent="0.25">
      <c r="A79" s="254"/>
      <c r="B79" s="159"/>
      <c r="C79" s="27"/>
      <c r="D79" s="44"/>
      <c r="E79" s="78" t="s">
        <v>1009</v>
      </c>
      <c r="F79" s="45"/>
      <c r="G79" s="37">
        <v>50</v>
      </c>
      <c r="H79" s="45"/>
      <c r="I79" s="27"/>
      <c r="J79" s="192"/>
    </row>
    <row r="80" spans="1:10" x14ac:dyDescent="0.25">
      <c r="A80" s="254"/>
      <c r="B80" s="145"/>
      <c r="C80" s="72"/>
      <c r="D80" s="202"/>
      <c r="E80" s="79" t="s">
        <v>158</v>
      </c>
      <c r="F80" s="196"/>
      <c r="G80" s="146">
        <v>100</v>
      </c>
      <c r="H80" s="196"/>
      <c r="I80" s="72"/>
      <c r="J80" s="147"/>
    </row>
    <row r="81" spans="1:10" x14ac:dyDescent="0.25">
      <c r="A81" s="254"/>
      <c r="B81" s="143">
        <v>15.4</v>
      </c>
      <c r="C81" s="71"/>
      <c r="D81" s="201"/>
      <c r="E81" s="77" t="s">
        <v>1022</v>
      </c>
      <c r="F81" s="195"/>
      <c r="G81" s="144">
        <v>3</v>
      </c>
      <c r="H81" s="195"/>
      <c r="I81" s="71" t="s">
        <v>1074</v>
      </c>
      <c r="J81" s="74"/>
    </row>
    <row r="82" spans="1:10" x14ac:dyDescent="0.25">
      <c r="A82" s="254"/>
      <c r="B82" s="159"/>
      <c r="C82" s="27"/>
      <c r="D82" s="44"/>
      <c r="E82" s="78" t="s">
        <v>628</v>
      </c>
      <c r="F82" s="45"/>
      <c r="G82" s="37">
        <v>3</v>
      </c>
      <c r="H82" s="45"/>
      <c r="I82" s="27"/>
      <c r="J82" s="192"/>
    </row>
    <row r="83" spans="1:10" x14ac:dyDescent="0.25">
      <c r="A83" s="254"/>
      <c r="B83" s="159"/>
      <c r="C83" s="27"/>
      <c r="D83" s="44"/>
      <c r="E83" s="78" t="s">
        <v>1022</v>
      </c>
      <c r="F83" s="45"/>
      <c r="G83" s="37">
        <v>6</v>
      </c>
      <c r="H83" s="45"/>
      <c r="I83" s="27"/>
      <c r="J83" s="192"/>
    </row>
    <row r="84" spans="1:10" x14ac:dyDescent="0.25">
      <c r="A84" s="254"/>
      <c r="B84" s="159"/>
      <c r="C84" s="27"/>
      <c r="D84" s="44"/>
      <c r="E84" s="78" t="s">
        <v>628</v>
      </c>
      <c r="F84" s="45"/>
      <c r="G84" s="37">
        <v>3</v>
      </c>
      <c r="H84" s="45"/>
      <c r="I84" s="27"/>
      <c r="J84" s="192"/>
    </row>
    <row r="85" spans="1:10" x14ac:dyDescent="0.25">
      <c r="A85" s="254"/>
      <c r="B85" s="159"/>
      <c r="C85" s="27"/>
      <c r="D85" s="44"/>
      <c r="E85" s="78" t="s">
        <v>1022</v>
      </c>
      <c r="F85" s="45"/>
      <c r="G85" s="37">
        <v>9</v>
      </c>
      <c r="H85" s="45"/>
      <c r="I85" s="27"/>
      <c r="J85" s="192"/>
    </row>
    <row r="86" spans="1:10" x14ac:dyDescent="0.25">
      <c r="A86" s="254"/>
      <c r="B86" s="159"/>
      <c r="C86" s="27"/>
      <c r="D86" s="44"/>
      <c r="E86" s="78" t="s">
        <v>628</v>
      </c>
      <c r="F86" s="45"/>
      <c r="G86" s="37">
        <v>3</v>
      </c>
      <c r="H86" s="45"/>
      <c r="I86" s="27"/>
      <c r="J86" s="192"/>
    </row>
    <row r="87" spans="1:10" x14ac:dyDescent="0.25">
      <c r="A87" s="254"/>
      <c r="B87" s="159"/>
      <c r="C87" s="27"/>
      <c r="D87" s="44"/>
      <c r="E87" s="78" t="s">
        <v>1022</v>
      </c>
      <c r="F87" s="45"/>
      <c r="G87" s="37">
        <v>12</v>
      </c>
      <c r="H87" s="45"/>
      <c r="I87" s="27"/>
      <c r="J87" s="192"/>
    </row>
    <row r="88" spans="1:10" x14ac:dyDescent="0.25">
      <c r="A88" s="254"/>
      <c r="B88" s="159"/>
      <c r="C88" s="27"/>
      <c r="D88" s="44"/>
      <c r="E88" s="78" t="s">
        <v>628</v>
      </c>
      <c r="F88" s="45"/>
      <c r="G88" s="37">
        <v>6</v>
      </c>
      <c r="H88" s="45"/>
      <c r="I88" s="27"/>
      <c r="J88" s="192"/>
    </row>
    <row r="89" spans="1:10" x14ac:dyDescent="0.25">
      <c r="A89" s="254"/>
      <c r="B89" s="159"/>
      <c r="C89" s="27"/>
      <c r="D89" s="44"/>
      <c r="E89" s="78" t="s">
        <v>1022</v>
      </c>
      <c r="F89" s="45"/>
      <c r="G89" s="37">
        <v>15</v>
      </c>
      <c r="H89" s="45"/>
      <c r="I89" s="27"/>
      <c r="J89" s="192"/>
    </row>
    <row r="90" spans="1:10" x14ac:dyDescent="0.25">
      <c r="A90" s="254"/>
      <c r="B90" s="159"/>
      <c r="C90" s="27"/>
      <c r="D90" s="44"/>
      <c r="E90" s="78" t="s">
        <v>628</v>
      </c>
      <c r="F90" s="45"/>
      <c r="G90" s="37">
        <v>6</v>
      </c>
      <c r="H90" s="45"/>
      <c r="I90" s="27"/>
      <c r="J90" s="192"/>
    </row>
    <row r="91" spans="1:10" x14ac:dyDescent="0.25">
      <c r="A91" s="254"/>
      <c r="B91" s="159"/>
      <c r="C91" s="27"/>
      <c r="D91" s="44"/>
      <c r="E91" s="78" t="s">
        <v>1022</v>
      </c>
      <c r="F91" s="45"/>
      <c r="G91" s="37">
        <v>18</v>
      </c>
      <c r="H91" s="45"/>
      <c r="I91" s="27"/>
      <c r="J91" s="192"/>
    </row>
    <row r="92" spans="1:10" x14ac:dyDescent="0.25">
      <c r="A92" s="254"/>
      <c r="B92" s="159"/>
      <c r="C92" s="27"/>
      <c r="D92" s="44"/>
      <c r="E92" s="78" t="s">
        <v>628</v>
      </c>
      <c r="F92" s="45"/>
      <c r="G92" s="37">
        <v>6</v>
      </c>
      <c r="H92" s="45"/>
      <c r="I92" s="27"/>
      <c r="J92" s="192"/>
    </row>
    <row r="93" spans="1:10" x14ac:dyDescent="0.25">
      <c r="A93" s="254"/>
      <c r="B93" s="159"/>
      <c r="C93" s="27"/>
      <c r="D93" s="44"/>
      <c r="E93" s="78" t="s">
        <v>1022</v>
      </c>
      <c r="F93" s="45"/>
      <c r="G93" s="37">
        <v>21</v>
      </c>
      <c r="H93" s="45"/>
      <c r="I93" s="27"/>
      <c r="J93" s="192"/>
    </row>
    <row r="94" spans="1:10" x14ac:dyDescent="0.25">
      <c r="A94" s="254"/>
      <c r="B94" s="145"/>
      <c r="C94" s="72"/>
      <c r="D94" s="202"/>
      <c r="E94" s="79" t="s">
        <v>628</v>
      </c>
      <c r="F94" s="196"/>
      <c r="G94" s="146">
        <v>9</v>
      </c>
      <c r="H94" s="196"/>
      <c r="I94" s="72"/>
      <c r="J94" s="147"/>
    </row>
    <row r="95" spans="1:10" x14ac:dyDescent="0.25">
      <c r="A95" s="254"/>
      <c r="B95" s="143">
        <v>15.5</v>
      </c>
      <c r="C95" s="71"/>
      <c r="D95" s="201"/>
      <c r="E95" s="77" t="s">
        <v>1023</v>
      </c>
      <c r="F95" s="195"/>
      <c r="G95" s="213" t="s">
        <v>1305</v>
      </c>
      <c r="H95" s="195"/>
      <c r="I95" s="71" t="s">
        <v>982</v>
      </c>
      <c r="J95" s="74"/>
    </row>
    <row r="96" spans="1:10" x14ac:dyDescent="0.25">
      <c r="A96" s="254"/>
      <c r="B96" s="145"/>
      <c r="C96" s="72"/>
      <c r="D96" s="202"/>
      <c r="E96" s="79" t="s">
        <v>285</v>
      </c>
      <c r="F96" s="196"/>
      <c r="G96" s="214" t="s">
        <v>1305</v>
      </c>
      <c r="H96" s="196"/>
      <c r="I96" s="72"/>
      <c r="J96" s="147"/>
    </row>
    <row r="97" spans="1:10" x14ac:dyDescent="0.25">
      <c r="A97" s="254"/>
      <c r="B97" s="143">
        <v>16.100000000000001</v>
      </c>
      <c r="C97" s="71"/>
      <c r="D97" s="201"/>
      <c r="E97" s="77" t="s">
        <v>1024</v>
      </c>
      <c r="F97" s="195"/>
      <c r="G97" s="144">
        <v>25</v>
      </c>
      <c r="H97" s="195"/>
      <c r="I97" s="71" t="s">
        <v>989</v>
      </c>
      <c r="J97" s="74"/>
    </row>
    <row r="98" spans="1:10" x14ac:dyDescent="0.25">
      <c r="A98" s="254"/>
      <c r="B98" s="159"/>
      <c r="C98" s="27"/>
      <c r="D98" s="44"/>
      <c r="E98" s="78" t="s">
        <v>1007</v>
      </c>
      <c r="F98" s="45"/>
      <c r="G98" s="37">
        <v>8</v>
      </c>
      <c r="H98" s="45"/>
      <c r="I98" s="27"/>
      <c r="J98" s="192"/>
    </row>
    <row r="99" spans="1:10" x14ac:dyDescent="0.25">
      <c r="A99" s="254"/>
      <c r="B99" s="159"/>
      <c r="C99" s="27"/>
      <c r="D99" s="44"/>
      <c r="E99" s="78" t="s">
        <v>1024</v>
      </c>
      <c r="F99" s="45"/>
      <c r="G99" s="37">
        <v>25</v>
      </c>
      <c r="H99" s="45"/>
      <c r="I99" s="27"/>
      <c r="J99" s="192"/>
    </row>
    <row r="100" spans="1:10" x14ac:dyDescent="0.25">
      <c r="A100" s="254"/>
      <c r="B100" s="145"/>
      <c r="C100" s="72"/>
      <c r="D100" s="202"/>
      <c r="E100" s="79" t="s">
        <v>1025</v>
      </c>
      <c r="F100" s="196"/>
      <c r="G100" s="146">
        <v>8</v>
      </c>
      <c r="H100" s="196"/>
      <c r="I100" s="72"/>
      <c r="J100" s="147"/>
    </row>
    <row r="101" spans="1:10" x14ac:dyDescent="0.25">
      <c r="A101" s="254"/>
      <c r="B101" s="143">
        <v>16.2</v>
      </c>
      <c r="C101" s="71"/>
      <c r="D101" s="201"/>
      <c r="E101" s="77" t="s">
        <v>1012</v>
      </c>
      <c r="F101" s="195"/>
      <c r="G101" s="144">
        <v>25</v>
      </c>
      <c r="H101" s="195"/>
      <c r="I101" s="71"/>
      <c r="J101" s="74" t="s">
        <v>293</v>
      </c>
    </row>
    <row r="102" spans="1:10" x14ac:dyDescent="0.25">
      <c r="A102" s="254"/>
      <c r="B102" s="159"/>
      <c r="C102" s="27"/>
      <c r="D102" s="44"/>
      <c r="E102" s="78" t="s">
        <v>158</v>
      </c>
      <c r="F102" s="45"/>
      <c r="G102" s="37">
        <v>50</v>
      </c>
      <c r="H102" s="45"/>
      <c r="I102" s="27"/>
      <c r="J102" s="192" t="s">
        <v>294</v>
      </c>
    </row>
    <row r="103" spans="1:10" x14ac:dyDescent="0.25">
      <c r="A103" s="254"/>
      <c r="B103" s="145"/>
      <c r="C103" s="72"/>
      <c r="D103" s="202"/>
      <c r="E103" s="79" t="s">
        <v>1026</v>
      </c>
      <c r="F103" s="196"/>
      <c r="G103" s="146"/>
      <c r="H103" s="196"/>
      <c r="I103" s="72"/>
      <c r="J103" s="147"/>
    </row>
    <row r="104" spans="1:10" x14ac:dyDescent="0.25">
      <c r="A104" s="254"/>
      <c r="B104" s="143">
        <v>16.3</v>
      </c>
      <c r="C104" s="71"/>
      <c r="D104" s="201"/>
      <c r="E104" s="77" t="s">
        <v>543</v>
      </c>
      <c r="F104" s="195"/>
      <c r="G104" s="144">
        <v>1</v>
      </c>
      <c r="H104" s="195"/>
      <c r="I104" s="71" t="s">
        <v>1073</v>
      </c>
      <c r="J104" s="74"/>
    </row>
    <row r="105" spans="1:10" x14ac:dyDescent="0.25">
      <c r="A105" s="254"/>
      <c r="B105" s="145"/>
      <c r="C105" s="72"/>
      <c r="D105" s="202"/>
      <c r="E105" s="79" t="s">
        <v>1027</v>
      </c>
      <c r="F105" s="196"/>
      <c r="G105" s="146">
        <v>3</v>
      </c>
      <c r="H105" s="196"/>
      <c r="I105" s="72"/>
      <c r="J105" s="147"/>
    </row>
    <row r="106" spans="1:10" x14ac:dyDescent="0.25">
      <c r="A106" s="254"/>
      <c r="B106" s="143">
        <v>16.399999999999999</v>
      </c>
      <c r="C106" s="71"/>
      <c r="D106" s="201"/>
      <c r="E106" s="77" t="s">
        <v>1017</v>
      </c>
      <c r="F106" s="195"/>
      <c r="G106" s="144">
        <v>55</v>
      </c>
      <c r="H106" s="195"/>
      <c r="I106" s="71" t="s">
        <v>1078</v>
      </c>
      <c r="J106" s="74"/>
    </row>
    <row r="107" spans="1:10" x14ac:dyDescent="0.25">
      <c r="A107" s="254"/>
      <c r="B107" s="159"/>
      <c r="C107" s="27"/>
      <c r="D107" s="44"/>
      <c r="E107" s="78" t="s">
        <v>1009</v>
      </c>
      <c r="F107" s="45"/>
      <c r="G107" s="37">
        <v>55</v>
      </c>
      <c r="H107" s="45"/>
      <c r="I107" s="27"/>
      <c r="J107" s="192"/>
    </row>
    <row r="108" spans="1:10" x14ac:dyDescent="0.25">
      <c r="A108" s="254"/>
      <c r="B108" s="159"/>
      <c r="C108" s="27"/>
      <c r="D108" s="44"/>
      <c r="E108" s="78" t="s">
        <v>1028</v>
      </c>
      <c r="F108" s="45"/>
      <c r="G108" s="37">
        <v>55</v>
      </c>
      <c r="H108" s="45"/>
      <c r="I108" s="27"/>
      <c r="J108" s="192"/>
    </row>
    <row r="109" spans="1:10" x14ac:dyDescent="0.25">
      <c r="A109" s="254"/>
      <c r="B109" s="145"/>
      <c r="C109" s="72"/>
      <c r="D109" s="202"/>
      <c r="E109" s="79" t="s">
        <v>1022</v>
      </c>
      <c r="F109" s="196"/>
      <c r="G109" s="146">
        <v>55</v>
      </c>
      <c r="H109" s="196"/>
      <c r="I109" s="72"/>
      <c r="J109" s="147"/>
    </row>
    <row r="110" spans="1:10" x14ac:dyDescent="0.25">
      <c r="A110" s="254"/>
      <c r="B110" s="143">
        <v>16.5</v>
      </c>
      <c r="C110" s="71" t="s">
        <v>1307</v>
      </c>
      <c r="D110" s="201"/>
      <c r="E110" s="77" t="s">
        <v>285</v>
      </c>
      <c r="F110" s="195"/>
      <c r="G110" s="213" t="s">
        <v>1306</v>
      </c>
      <c r="H110" s="195"/>
      <c r="I110" s="71" t="s">
        <v>982</v>
      </c>
      <c r="J110" s="74"/>
    </row>
    <row r="111" spans="1:10" x14ac:dyDescent="0.25">
      <c r="A111" s="254"/>
      <c r="B111" s="145"/>
      <c r="C111" s="72"/>
      <c r="D111" s="202"/>
      <c r="E111" s="79" t="s">
        <v>146</v>
      </c>
      <c r="F111" s="196"/>
      <c r="G111" s="214" t="s">
        <v>1306</v>
      </c>
      <c r="H111" s="196"/>
      <c r="I111" s="72"/>
      <c r="J111" s="147"/>
    </row>
    <row r="112" spans="1:10" x14ac:dyDescent="0.25">
      <c r="A112" s="254"/>
      <c r="B112" s="143">
        <v>17.100000000000001</v>
      </c>
      <c r="C112" s="71" t="s">
        <v>991</v>
      </c>
      <c r="D112" s="201"/>
      <c r="E112" s="77" t="s">
        <v>1029</v>
      </c>
      <c r="F112" s="195"/>
      <c r="G112" s="144">
        <v>10</v>
      </c>
      <c r="H112" s="195"/>
      <c r="I112" s="71" t="s">
        <v>989</v>
      </c>
      <c r="J112" s="74"/>
    </row>
    <row r="113" spans="1:10" x14ac:dyDescent="0.25">
      <c r="A113" s="254"/>
      <c r="B113" s="159"/>
      <c r="C113" s="27"/>
      <c r="D113" s="44"/>
      <c r="E113" s="78" t="s">
        <v>1030</v>
      </c>
      <c r="F113" s="45"/>
      <c r="G113" s="37">
        <v>15</v>
      </c>
      <c r="H113" s="45"/>
      <c r="I113" s="27"/>
      <c r="J113" s="192"/>
    </row>
    <row r="114" spans="1:10" x14ac:dyDescent="0.25">
      <c r="A114" s="254"/>
      <c r="B114" s="159"/>
      <c r="C114" s="27"/>
      <c r="D114" s="44"/>
      <c r="E114" s="78" t="s">
        <v>1029</v>
      </c>
      <c r="F114" s="45"/>
      <c r="G114" s="37">
        <v>20</v>
      </c>
      <c r="H114" s="45"/>
      <c r="I114" s="27"/>
      <c r="J114" s="192"/>
    </row>
    <row r="115" spans="1:10" x14ac:dyDescent="0.25">
      <c r="A115" s="254"/>
      <c r="B115" s="159"/>
      <c r="C115" s="27"/>
      <c r="D115" s="44"/>
      <c r="E115" s="78" t="s">
        <v>1030</v>
      </c>
      <c r="F115" s="45"/>
      <c r="G115" s="37">
        <v>15</v>
      </c>
      <c r="H115" s="45"/>
      <c r="I115" s="27"/>
      <c r="J115" s="192"/>
    </row>
    <row r="116" spans="1:10" x14ac:dyDescent="0.25">
      <c r="A116" s="254"/>
      <c r="B116" s="159"/>
      <c r="C116" s="27"/>
      <c r="D116" s="44"/>
      <c r="E116" s="78" t="s">
        <v>1029</v>
      </c>
      <c r="F116" s="45"/>
      <c r="G116" s="37">
        <v>30</v>
      </c>
      <c r="H116" s="45"/>
      <c r="I116" s="27"/>
      <c r="J116" s="192"/>
    </row>
    <row r="117" spans="1:10" x14ac:dyDescent="0.25">
      <c r="A117" s="254"/>
      <c r="B117" s="159"/>
      <c r="C117" s="27"/>
      <c r="D117" s="44"/>
      <c r="E117" s="78" t="s">
        <v>1030</v>
      </c>
      <c r="F117" s="45"/>
      <c r="G117" s="37">
        <v>15</v>
      </c>
      <c r="H117" s="45"/>
      <c r="I117" s="27"/>
      <c r="J117" s="192"/>
    </row>
    <row r="118" spans="1:10" x14ac:dyDescent="0.25">
      <c r="A118" s="254"/>
      <c r="B118" s="159"/>
      <c r="C118" s="27"/>
      <c r="D118" s="44"/>
      <c r="E118" s="78" t="s">
        <v>1029</v>
      </c>
      <c r="F118" s="45"/>
      <c r="G118" s="37">
        <v>40</v>
      </c>
      <c r="H118" s="45"/>
      <c r="I118" s="27"/>
      <c r="J118" s="192"/>
    </row>
    <row r="119" spans="1:10" x14ac:dyDescent="0.25">
      <c r="A119" s="254"/>
      <c r="B119" s="159"/>
      <c r="C119" s="27"/>
      <c r="D119" s="44"/>
      <c r="E119" s="78" t="s">
        <v>1030</v>
      </c>
      <c r="F119" s="45"/>
      <c r="G119" s="37">
        <v>15</v>
      </c>
      <c r="H119" s="45"/>
      <c r="I119" s="27"/>
      <c r="J119" s="192"/>
    </row>
    <row r="120" spans="1:10" x14ac:dyDescent="0.25">
      <c r="A120" s="254"/>
      <c r="B120" s="159"/>
      <c r="C120" s="27"/>
      <c r="D120" s="44"/>
      <c r="E120" s="78" t="s">
        <v>1029</v>
      </c>
      <c r="F120" s="45"/>
      <c r="G120" s="37">
        <v>50</v>
      </c>
      <c r="H120" s="45"/>
      <c r="I120" s="27"/>
      <c r="J120" s="192"/>
    </row>
    <row r="121" spans="1:10" x14ac:dyDescent="0.25">
      <c r="A121" s="254"/>
      <c r="B121" s="145"/>
      <c r="C121" s="72"/>
      <c r="D121" s="202"/>
      <c r="E121" s="79" t="s">
        <v>1030</v>
      </c>
      <c r="F121" s="196"/>
      <c r="G121" s="146">
        <v>15</v>
      </c>
      <c r="H121" s="196"/>
      <c r="I121" s="72"/>
      <c r="J121" s="147"/>
    </row>
    <row r="122" spans="1:10" x14ac:dyDescent="0.25">
      <c r="A122" s="254"/>
      <c r="B122" s="143">
        <v>17.2</v>
      </c>
      <c r="C122" s="71" t="s">
        <v>1000</v>
      </c>
      <c r="D122" s="201"/>
      <c r="E122" s="78" t="s">
        <v>1310</v>
      </c>
      <c r="F122" s="45"/>
      <c r="G122" s="37">
        <v>50</v>
      </c>
      <c r="H122" s="195"/>
      <c r="I122" s="71" t="s">
        <v>1077</v>
      </c>
      <c r="J122" s="74"/>
    </row>
    <row r="123" spans="1:10" x14ac:dyDescent="0.25">
      <c r="A123" s="254"/>
      <c r="B123" s="159"/>
      <c r="C123" s="27"/>
      <c r="D123" s="44"/>
      <c r="E123" s="78" t="s">
        <v>603</v>
      </c>
      <c r="F123" s="45"/>
      <c r="G123" s="37">
        <v>16</v>
      </c>
      <c r="H123" s="45"/>
      <c r="I123" s="27"/>
      <c r="J123" s="192"/>
    </row>
    <row r="124" spans="1:10" x14ac:dyDescent="0.25">
      <c r="A124" s="254"/>
      <c r="B124" s="159"/>
      <c r="C124" s="27"/>
      <c r="D124" s="44"/>
      <c r="E124" s="78" t="s">
        <v>1311</v>
      </c>
      <c r="F124" s="45"/>
      <c r="G124" s="37">
        <v>8</v>
      </c>
      <c r="H124" s="45"/>
      <c r="I124" s="27"/>
      <c r="J124" s="192"/>
    </row>
    <row r="125" spans="1:10" x14ac:dyDescent="0.25">
      <c r="A125" s="254"/>
      <c r="B125" s="159"/>
      <c r="C125" s="27"/>
      <c r="D125" s="44"/>
      <c r="E125" s="78" t="s">
        <v>1310</v>
      </c>
      <c r="G125" s="37">
        <v>50</v>
      </c>
      <c r="H125" s="45"/>
      <c r="I125" s="27"/>
      <c r="J125" s="192"/>
    </row>
    <row r="126" spans="1:10" x14ac:dyDescent="0.25">
      <c r="A126" s="254"/>
      <c r="B126" s="159"/>
      <c r="C126" s="27"/>
      <c r="D126" s="44"/>
      <c r="E126" s="78" t="s">
        <v>1312</v>
      </c>
      <c r="F126" s="45"/>
      <c r="G126" s="37">
        <v>16</v>
      </c>
      <c r="H126" s="45"/>
      <c r="I126" s="27"/>
      <c r="J126" s="192"/>
    </row>
    <row r="127" spans="1:10" x14ac:dyDescent="0.25">
      <c r="A127" s="254"/>
      <c r="B127" s="159"/>
      <c r="C127" s="27"/>
      <c r="D127" s="44"/>
      <c r="E127" s="78" t="s">
        <v>1311</v>
      </c>
      <c r="F127" s="45"/>
      <c r="G127" s="37">
        <v>8</v>
      </c>
      <c r="H127" s="45"/>
      <c r="I127" s="27"/>
      <c r="J127" s="192"/>
    </row>
    <row r="128" spans="1:10" x14ac:dyDescent="0.25">
      <c r="A128" s="254"/>
      <c r="B128" s="143">
        <v>17.3</v>
      </c>
      <c r="C128" s="71" t="s">
        <v>658</v>
      </c>
      <c r="D128" s="201"/>
      <c r="E128" s="77" t="s">
        <v>392</v>
      </c>
      <c r="F128" s="195"/>
      <c r="G128" s="144">
        <v>6</v>
      </c>
      <c r="H128" s="195"/>
      <c r="I128" s="71" t="s">
        <v>982</v>
      </c>
      <c r="J128" s="208"/>
    </row>
    <row r="129" spans="1:10" x14ac:dyDescent="0.25">
      <c r="A129" s="254"/>
      <c r="B129" s="159"/>
      <c r="C129" s="27"/>
      <c r="D129" s="44"/>
      <c r="E129" s="78" t="s">
        <v>1308</v>
      </c>
      <c r="F129" s="45"/>
      <c r="G129" s="37">
        <v>6</v>
      </c>
      <c r="H129" s="45"/>
      <c r="I129" s="27"/>
      <c r="J129" s="217"/>
    </row>
    <row r="130" spans="1:10" x14ac:dyDescent="0.25">
      <c r="A130" s="254"/>
      <c r="B130" s="159"/>
      <c r="C130" s="27"/>
      <c r="D130" s="44"/>
      <c r="E130" s="78" t="s">
        <v>1033</v>
      </c>
      <c r="F130" s="45"/>
      <c r="G130" s="37">
        <v>7</v>
      </c>
      <c r="H130" s="45"/>
      <c r="I130" s="27"/>
      <c r="J130" s="217"/>
    </row>
    <row r="131" spans="1:10" x14ac:dyDescent="0.25">
      <c r="A131" s="254"/>
      <c r="B131" s="159"/>
      <c r="C131" s="27"/>
      <c r="D131" s="44"/>
      <c r="E131" s="78" t="s">
        <v>1309</v>
      </c>
      <c r="F131" s="45"/>
      <c r="G131" s="37">
        <v>5</v>
      </c>
      <c r="H131" s="45"/>
      <c r="I131" s="27"/>
      <c r="J131" s="217"/>
    </row>
    <row r="132" spans="1:10" x14ac:dyDescent="0.25">
      <c r="A132" s="254"/>
      <c r="B132" s="159"/>
      <c r="C132" s="27"/>
      <c r="D132" s="44"/>
      <c r="E132" s="78" t="s">
        <v>1033</v>
      </c>
      <c r="F132" s="45"/>
      <c r="G132" s="37">
        <v>8</v>
      </c>
      <c r="H132" s="45"/>
      <c r="I132" s="27"/>
      <c r="J132" s="217"/>
    </row>
    <row r="133" spans="1:10" x14ac:dyDescent="0.25">
      <c r="A133" s="254"/>
      <c r="B133" s="159"/>
      <c r="C133" s="27"/>
      <c r="D133" s="44"/>
      <c r="E133" s="78" t="s">
        <v>1309</v>
      </c>
      <c r="F133" s="45"/>
      <c r="G133" s="37">
        <v>4</v>
      </c>
      <c r="H133" s="45"/>
      <c r="I133" s="27"/>
      <c r="J133" s="192"/>
    </row>
    <row r="134" spans="1:10" x14ac:dyDescent="0.25">
      <c r="A134" s="254"/>
      <c r="B134" s="159"/>
      <c r="C134" s="27"/>
      <c r="D134" s="44"/>
      <c r="E134" s="78" t="s">
        <v>1033</v>
      </c>
      <c r="F134" s="45"/>
      <c r="G134" s="37">
        <v>9</v>
      </c>
      <c r="H134" s="45"/>
      <c r="I134" s="27"/>
      <c r="J134" s="192"/>
    </row>
    <row r="135" spans="1:10" x14ac:dyDescent="0.25">
      <c r="A135" s="254"/>
      <c r="B135" s="159"/>
      <c r="C135" s="27"/>
      <c r="D135" s="44"/>
      <c r="E135" s="78" t="s">
        <v>1309</v>
      </c>
      <c r="F135" s="45"/>
      <c r="G135" s="37">
        <v>3</v>
      </c>
      <c r="H135" s="45"/>
      <c r="I135" s="27"/>
      <c r="J135" s="192"/>
    </row>
    <row r="136" spans="1:10" x14ac:dyDescent="0.25">
      <c r="A136" s="254"/>
      <c r="B136" s="159"/>
      <c r="C136" s="27"/>
      <c r="D136" s="44"/>
      <c r="E136" s="78" t="s">
        <v>1033</v>
      </c>
      <c r="F136" s="45"/>
      <c r="G136" s="37">
        <v>10</v>
      </c>
      <c r="H136" s="45"/>
      <c r="I136" s="27"/>
      <c r="J136" s="192"/>
    </row>
    <row r="137" spans="1:10" x14ac:dyDescent="0.25">
      <c r="A137" s="254"/>
      <c r="B137" s="159"/>
      <c r="C137" s="27"/>
      <c r="D137" s="44"/>
      <c r="E137" s="78" t="s">
        <v>1309</v>
      </c>
      <c r="F137" s="45"/>
      <c r="G137" s="37">
        <v>2</v>
      </c>
      <c r="H137" s="45"/>
      <c r="I137" s="27"/>
      <c r="J137" s="192"/>
    </row>
    <row r="138" spans="1:10" x14ac:dyDescent="0.25">
      <c r="A138" s="254"/>
      <c r="B138" s="159"/>
      <c r="C138" s="27"/>
      <c r="D138" s="44"/>
      <c r="E138" s="78" t="s">
        <v>1033</v>
      </c>
      <c r="F138" s="45"/>
      <c r="G138" s="37">
        <v>11</v>
      </c>
      <c r="H138" s="45"/>
      <c r="I138" s="27"/>
      <c r="J138" s="192"/>
    </row>
    <row r="139" spans="1:10" x14ac:dyDescent="0.25">
      <c r="A139" s="254"/>
      <c r="B139" s="145"/>
      <c r="C139" s="72"/>
      <c r="D139" s="202"/>
      <c r="E139" s="79" t="s">
        <v>1309</v>
      </c>
      <c r="F139" s="196"/>
      <c r="G139" s="146">
        <v>1</v>
      </c>
      <c r="H139" s="196"/>
      <c r="I139" s="72"/>
      <c r="J139" s="147"/>
    </row>
    <row r="140" spans="1:10" x14ac:dyDescent="0.25">
      <c r="A140" s="254"/>
      <c r="B140" s="143">
        <v>17.399999999999999</v>
      </c>
      <c r="C140" s="71" t="s">
        <v>1313</v>
      </c>
      <c r="D140" s="201"/>
      <c r="E140" s="77" t="s">
        <v>1034</v>
      </c>
      <c r="F140" s="195"/>
      <c r="G140" s="144">
        <v>55</v>
      </c>
      <c r="H140" s="195"/>
      <c r="I140" s="71" t="s">
        <v>1078</v>
      </c>
      <c r="J140" s="74"/>
    </row>
    <row r="141" spans="1:10" x14ac:dyDescent="0.25">
      <c r="A141" s="254"/>
      <c r="B141" s="159"/>
      <c r="C141" s="27"/>
      <c r="D141" s="44"/>
      <c r="E141" s="78" t="s">
        <v>1035</v>
      </c>
      <c r="F141" s="45"/>
      <c r="G141" s="37">
        <v>55</v>
      </c>
      <c r="H141" s="45"/>
      <c r="I141" s="27"/>
      <c r="J141" s="192"/>
    </row>
    <row r="142" spans="1:10" x14ac:dyDescent="0.25">
      <c r="A142" s="254"/>
      <c r="B142" s="159"/>
      <c r="C142" s="27"/>
      <c r="D142" s="44"/>
      <c r="E142" s="78" t="s">
        <v>1036</v>
      </c>
      <c r="F142" s="45"/>
      <c r="G142" s="37">
        <v>55</v>
      </c>
      <c r="H142" s="45"/>
      <c r="I142" s="27"/>
      <c r="J142" s="192"/>
    </row>
    <row r="143" spans="1:10" x14ac:dyDescent="0.25">
      <c r="A143" s="254"/>
      <c r="B143" s="145"/>
      <c r="C143" s="72"/>
      <c r="D143" s="202"/>
      <c r="E143" s="79" t="s">
        <v>1037</v>
      </c>
      <c r="F143" s="196"/>
      <c r="G143" s="146">
        <v>55</v>
      </c>
      <c r="H143" s="196"/>
      <c r="I143" s="72"/>
      <c r="J143" s="147"/>
    </row>
    <row r="144" spans="1:10" x14ac:dyDescent="0.25">
      <c r="A144" s="254"/>
      <c r="B144" s="143">
        <v>17.5</v>
      </c>
      <c r="C144" s="71" t="s">
        <v>655</v>
      </c>
      <c r="D144" s="201"/>
      <c r="E144" s="77" t="s">
        <v>285</v>
      </c>
      <c r="F144" s="195"/>
      <c r="G144" s="144">
        <v>9</v>
      </c>
      <c r="H144" s="195"/>
      <c r="I144" s="71"/>
      <c r="J144" s="74"/>
    </row>
    <row r="145" spans="1:10" x14ac:dyDescent="0.25">
      <c r="A145" s="254"/>
      <c r="B145" s="145"/>
      <c r="C145" s="72"/>
      <c r="D145" s="202"/>
      <c r="E145" s="79" t="s">
        <v>26</v>
      </c>
      <c r="F145" s="196"/>
      <c r="G145" s="146">
        <v>35</v>
      </c>
      <c r="H145" s="196"/>
      <c r="I145" s="72"/>
      <c r="J145" s="147"/>
    </row>
    <row r="146" spans="1:10" x14ac:dyDescent="0.25">
      <c r="A146" s="254"/>
      <c r="B146" s="143">
        <v>18.100000000000001</v>
      </c>
      <c r="C146" s="71"/>
      <c r="D146" s="201"/>
      <c r="E146" s="77" t="s">
        <v>603</v>
      </c>
      <c r="F146" s="195"/>
      <c r="G146" s="144">
        <v>8</v>
      </c>
      <c r="H146" s="195"/>
      <c r="I146" s="71" t="s">
        <v>989</v>
      </c>
      <c r="J146" s="74"/>
    </row>
    <row r="147" spans="1:10" x14ac:dyDescent="0.25">
      <c r="A147" s="254"/>
      <c r="B147" s="159"/>
      <c r="C147" s="27"/>
      <c r="D147" s="44"/>
      <c r="E147" s="78" t="s">
        <v>1314</v>
      </c>
      <c r="F147" s="45"/>
      <c r="G147" s="37">
        <v>10</v>
      </c>
      <c r="H147" s="45"/>
      <c r="I147" s="27"/>
      <c r="J147" s="192"/>
    </row>
    <row r="148" spans="1:10" x14ac:dyDescent="0.25">
      <c r="A148" s="254"/>
      <c r="B148" s="145"/>
      <c r="C148" s="72"/>
      <c r="D148" s="202"/>
      <c r="E148" s="79" t="s">
        <v>284</v>
      </c>
      <c r="F148" s="196"/>
      <c r="G148" s="146">
        <v>14</v>
      </c>
      <c r="H148" s="196"/>
      <c r="I148" s="72"/>
      <c r="J148" s="147"/>
    </row>
    <row r="149" spans="1:10" x14ac:dyDescent="0.25">
      <c r="A149" s="254"/>
      <c r="B149" s="143">
        <v>18.2</v>
      </c>
      <c r="C149" s="71" t="s">
        <v>94</v>
      </c>
      <c r="D149" s="201"/>
      <c r="E149" s="77" t="s">
        <v>345</v>
      </c>
      <c r="F149" s="195"/>
      <c r="G149" s="213" t="s">
        <v>1318</v>
      </c>
      <c r="H149" s="195"/>
      <c r="I149" s="71" t="s">
        <v>982</v>
      </c>
      <c r="J149" s="74"/>
    </row>
    <row r="150" spans="1:10" x14ac:dyDescent="0.25">
      <c r="A150" s="254"/>
      <c r="B150" s="145"/>
      <c r="C150" s="72"/>
      <c r="D150" s="202"/>
      <c r="E150" s="79" t="s">
        <v>346</v>
      </c>
      <c r="F150" s="196"/>
      <c r="G150" s="221" t="s">
        <v>1319</v>
      </c>
      <c r="H150" s="196"/>
      <c r="I150" s="72"/>
      <c r="J150" s="147"/>
    </row>
    <row r="151" spans="1:10" x14ac:dyDescent="0.25">
      <c r="A151" s="254"/>
      <c r="B151" s="143">
        <v>18.3</v>
      </c>
      <c r="C151" s="71" t="s">
        <v>1000</v>
      </c>
      <c r="D151" s="201"/>
      <c r="E151" s="77" t="s">
        <v>1038</v>
      </c>
      <c r="F151" s="195"/>
      <c r="G151" s="144">
        <v>100</v>
      </c>
      <c r="H151" s="195"/>
      <c r="I151" s="71" t="s">
        <v>1079</v>
      </c>
      <c r="J151" s="74"/>
    </row>
    <row r="152" spans="1:10" x14ac:dyDescent="0.25">
      <c r="A152" s="254"/>
      <c r="B152" s="159"/>
      <c r="C152" s="27"/>
      <c r="D152" s="44"/>
      <c r="E152" s="78" t="s">
        <v>1040</v>
      </c>
      <c r="F152" s="45"/>
      <c r="G152" s="37">
        <v>20</v>
      </c>
      <c r="H152" s="45"/>
      <c r="I152" s="27"/>
      <c r="J152" s="192"/>
    </row>
    <row r="153" spans="1:10" x14ac:dyDescent="0.25">
      <c r="A153" s="254"/>
      <c r="B153" s="159"/>
      <c r="C153" s="27"/>
      <c r="D153" s="44"/>
      <c r="E153" s="78" t="s">
        <v>1038</v>
      </c>
      <c r="F153" s="45"/>
      <c r="G153" s="37">
        <v>100</v>
      </c>
      <c r="H153" s="45"/>
      <c r="I153" s="27"/>
      <c r="J153" s="192"/>
    </row>
    <row r="154" spans="1:10" x14ac:dyDescent="0.25">
      <c r="A154" s="254"/>
      <c r="B154" s="159"/>
      <c r="C154" s="27"/>
      <c r="D154" s="44"/>
      <c r="E154" s="78" t="s">
        <v>1041</v>
      </c>
      <c r="F154" s="45"/>
      <c r="G154" s="37">
        <v>12</v>
      </c>
      <c r="H154" s="45"/>
      <c r="I154" s="27"/>
      <c r="J154" s="192"/>
    </row>
    <row r="155" spans="1:10" x14ac:dyDescent="0.25">
      <c r="A155" s="254"/>
      <c r="B155" s="159"/>
      <c r="C155" s="27"/>
      <c r="D155" s="44"/>
      <c r="E155" s="78" t="s">
        <v>1038</v>
      </c>
      <c r="F155" s="45"/>
      <c r="G155" s="37">
        <v>100</v>
      </c>
      <c r="H155" s="45"/>
      <c r="I155" s="27"/>
      <c r="J155" s="192"/>
    </row>
    <row r="156" spans="1:10" x14ac:dyDescent="0.25">
      <c r="A156" s="254"/>
      <c r="B156" s="159"/>
      <c r="C156" s="27"/>
      <c r="D156" s="44"/>
      <c r="E156" s="78" t="s">
        <v>1029</v>
      </c>
      <c r="F156" s="45"/>
      <c r="G156" s="37">
        <v>20</v>
      </c>
      <c r="H156" s="45"/>
      <c r="I156" s="27"/>
      <c r="J156" s="192"/>
    </row>
    <row r="157" spans="1:10" x14ac:dyDescent="0.25">
      <c r="A157" s="254"/>
      <c r="B157" s="159"/>
      <c r="C157" s="27"/>
      <c r="D157" s="44"/>
      <c r="E157" s="78" t="s">
        <v>1038</v>
      </c>
      <c r="F157" s="45"/>
      <c r="G157" s="37">
        <v>100</v>
      </c>
      <c r="H157" s="45"/>
      <c r="I157" s="27"/>
      <c r="J157" s="192"/>
    </row>
    <row r="158" spans="1:10" x14ac:dyDescent="0.25">
      <c r="A158" s="254"/>
      <c r="B158" s="145"/>
      <c r="C158" s="72"/>
      <c r="D158" s="202"/>
      <c r="E158" s="79" t="s">
        <v>1032</v>
      </c>
      <c r="F158" s="196"/>
      <c r="G158" s="146">
        <v>12</v>
      </c>
      <c r="H158" s="196"/>
      <c r="I158" s="72"/>
      <c r="J158" s="147"/>
    </row>
    <row r="159" spans="1:10" x14ac:dyDescent="0.25">
      <c r="A159" s="254"/>
      <c r="B159" s="143">
        <v>18.399999999999999</v>
      </c>
      <c r="C159" s="71" t="s">
        <v>991</v>
      </c>
      <c r="D159" s="201"/>
      <c r="E159" s="218" t="s">
        <v>1316</v>
      </c>
      <c r="F159" s="195"/>
      <c r="G159" s="144">
        <v>21</v>
      </c>
      <c r="H159" s="195"/>
      <c r="I159" s="71" t="s">
        <v>1317</v>
      </c>
      <c r="J159" s="74" t="s">
        <v>259</v>
      </c>
    </row>
    <row r="160" spans="1:10" x14ac:dyDescent="0.25">
      <c r="A160" s="254"/>
      <c r="B160" s="159"/>
      <c r="C160" s="27"/>
      <c r="D160" s="44"/>
      <c r="E160" s="219" t="s">
        <v>1037</v>
      </c>
      <c r="F160" s="45"/>
      <c r="G160" s="37">
        <v>21</v>
      </c>
      <c r="H160" s="45"/>
      <c r="I160" s="27"/>
      <c r="J160" s="192" t="s">
        <v>355</v>
      </c>
    </row>
    <row r="161" spans="1:10" x14ac:dyDescent="0.25">
      <c r="A161" s="254"/>
      <c r="B161" s="159"/>
      <c r="C161" s="27"/>
      <c r="D161" s="44"/>
      <c r="E161" s="219" t="s">
        <v>1316</v>
      </c>
      <c r="F161" s="45"/>
      <c r="G161" s="37">
        <v>15</v>
      </c>
      <c r="H161" s="45"/>
      <c r="I161" s="27"/>
      <c r="J161" s="192"/>
    </row>
    <row r="162" spans="1:10" x14ac:dyDescent="0.25">
      <c r="A162" s="254"/>
      <c r="B162" s="159"/>
      <c r="C162" s="27"/>
      <c r="D162" s="44"/>
      <c r="E162" s="219" t="s">
        <v>1037</v>
      </c>
      <c r="F162" s="45"/>
      <c r="G162" s="37">
        <v>15</v>
      </c>
      <c r="H162" s="45"/>
      <c r="I162" s="27"/>
      <c r="J162" s="192"/>
    </row>
    <row r="163" spans="1:10" x14ac:dyDescent="0.25">
      <c r="A163" s="254"/>
      <c r="B163" s="159"/>
      <c r="C163" s="27"/>
      <c r="D163" s="44"/>
      <c r="E163" s="219" t="s">
        <v>1316</v>
      </c>
      <c r="F163" s="45"/>
      <c r="G163" s="37">
        <v>9</v>
      </c>
      <c r="H163" s="45"/>
      <c r="I163" s="27"/>
      <c r="J163" s="192"/>
    </row>
    <row r="164" spans="1:10" x14ac:dyDescent="0.25">
      <c r="A164" s="254"/>
      <c r="B164" s="159"/>
      <c r="C164" s="27"/>
      <c r="D164" s="44"/>
      <c r="E164" s="219" t="s">
        <v>1037</v>
      </c>
      <c r="F164" s="45"/>
      <c r="G164" s="37">
        <v>9</v>
      </c>
      <c r="H164" s="45"/>
      <c r="I164" s="27"/>
      <c r="J164" s="192"/>
    </row>
    <row r="165" spans="1:10" x14ac:dyDescent="0.25">
      <c r="A165" s="254"/>
      <c r="B165" s="159"/>
      <c r="C165" s="27"/>
      <c r="D165" s="44"/>
      <c r="E165" s="219" t="s">
        <v>1316</v>
      </c>
      <c r="F165" s="45"/>
      <c r="G165" s="37">
        <v>21</v>
      </c>
      <c r="H165" s="45"/>
      <c r="I165" s="27"/>
      <c r="J165" s="192"/>
    </row>
    <row r="166" spans="1:10" x14ac:dyDescent="0.25">
      <c r="A166" s="254"/>
      <c r="B166" s="159"/>
      <c r="C166" s="27"/>
      <c r="D166" s="44"/>
      <c r="E166" s="219" t="s">
        <v>1042</v>
      </c>
      <c r="F166" s="45"/>
      <c r="G166" s="37">
        <v>50</v>
      </c>
      <c r="H166" s="45"/>
      <c r="I166" s="27"/>
      <c r="J166" s="192"/>
    </row>
    <row r="167" spans="1:10" x14ac:dyDescent="0.25">
      <c r="A167" s="254"/>
      <c r="B167" s="159"/>
      <c r="C167" s="27"/>
      <c r="D167" s="44"/>
      <c r="E167" s="219" t="s">
        <v>1316</v>
      </c>
      <c r="F167" s="45"/>
      <c r="G167" s="37">
        <v>15</v>
      </c>
      <c r="H167" s="45"/>
      <c r="I167" s="27"/>
      <c r="J167" s="192"/>
    </row>
    <row r="168" spans="1:10" x14ac:dyDescent="0.25">
      <c r="A168" s="254"/>
      <c r="B168" s="159"/>
      <c r="C168" s="27"/>
      <c r="D168" s="44"/>
      <c r="E168" s="219" t="s">
        <v>1042</v>
      </c>
      <c r="F168" s="45"/>
      <c r="G168" s="37">
        <v>50</v>
      </c>
      <c r="H168" s="45"/>
      <c r="I168" s="27"/>
      <c r="J168" s="192"/>
    </row>
    <row r="169" spans="1:10" x14ac:dyDescent="0.25">
      <c r="A169" s="254"/>
      <c r="B169" s="159"/>
      <c r="C169" s="27"/>
      <c r="D169" s="44"/>
      <c r="E169" s="219" t="s">
        <v>1316</v>
      </c>
      <c r="F169" s="45"/>
      <c r="G169" s="37">
        <v>9</v>
      </c>
      <c r="H169" s="45"/>
      <c r="I169" s="27"/>
      <c r="J169" s="192"/>
    </row>
    <row r="170" spans="1:10" x14ac:dyDescent="0.25">
      <c r="A170" s="254"/>
      <c r="B170" s="145"/>
      <c r="C170" s="72"/>
      <c r="D170" s="202"/>
      <c r="E170" s="220" t="s">
        <v>1042</v>
      </c>
      <c r="F170" s="196"/>
      <c r="G170" s="146">
        <v>50</v>
      </c>
      <c r="H170" s="196"/>
      <c r="I170" s="72"/>
      <c r="J170" s="147"/>
    </row>
    <row r="171" spans="1:10" x14ac:dyDescent="0.25">
      <c r="A171" s="254"/>
      <c r="B171" s="143">
        <v>18.5</v>
      </c>
      <c r="C171" s="71" t="s">
        <v>2</v>
      </c>
      <c r="D171" s="201"/>
      <c r="E171" s="77" t="s">
        <v>1043</v>
      </c>
      <c r="F171" s="195"/>
      <c r="G171" s="144">
        <v>3</v>
      </c>
      <c r="H171" s="195"/>
      <c r="I171" s="71" t="s">
        <v>1073</v>
      </c>
      <c r="J171" s="74"/>
    </row>
    <row r="172" spans="1:10" x14ac:dyDescent="0.25">
      <c r="A172" s="254"/>
      <c r="B172" s="159"/>
      <c r="C172" s="27"/>
      <c r="D172" s="44"/>
      <c r="E172" s="78" t="s">
        <v>1033</v>
      </c>
      <c r="F172" s="45"/>
      <c r="G172" s="37">
        <v>3</v>
      </c>
      <c r="H172" s="45"/>
      <c r="I172" s="27"/>
      <c r="J172" s="192"/>
    </row>
    <row r="173" spans="1:10" x14ac:dyDescent="0.25">
      <c r="A173" s="254"/>
      <c r="B173" s="159"/>
      <c r="C173" s="27"/>
      <c r="D173" s="44"/>
      <c r="E173" s="78" t="s">
        <v>1043</v>
      </c>
      <c r="F173" s="45"/>
      <c r="G173" s="37">
        <v>6</v>
      </c>
      <c r="H173" s="45"/>
      <c r="I173" s="27"/>
      <c r="J173" s="192"/>
    </row>
    <row r="174" spans="1:10" x14ac:dyDescent="0.25">
      <c r="A174" s="254"/>
      <c r="B174" s="159"/>
      <c r="C174" s="27"/>
      <c r="D174" s="44"/>
      <c r="E174" s="78" t="s">
        <v>1033</v>
      </c>
      <c r="F174" s="45"/>
      <c r="G174" s="37">
        <v>6</v>
      </c>
      <c r="H174" s="45"/>
      <c r="I174" s="27"/>
      <c r="J174" s="192"/>
    </row>
    <row r="175" spans="1:10" x14ac:dyDescent="0.25">
      <c r="A175" s="254"/>
      <c r="B175" s="159"/>
      <c r="C175" s="27"/>
      <c r="D175" s="44"/>
      <c r="E175" s="78" t="s">
        <v>1043</v>
      </c>
      <c r="F175" s="45"/>
      <c r="G175" s="37">
        <v>9</v>
      </c>
      <c r="H175" s="45"/>
      <c r="I175" s="27"/>
      <c r="J175" s="192"/>
    </row>
    <row r="176" spans="1:10" x14ac:dyDescent="0.25">
      <c r="A176" s="254"/>
      <c r="B176" s="159"/>
      <c r="C176" s="27"/>
      <c r="D176" s="44"/>
      <c r="E176" s="78" t="s">
        <v>1033</v>
      </c>
      <c r="F176" s="45"/>
      <c r="G176" s="37">
        <v>9</v>
      </c>
      <c r="H176" s="45"/>
      <c r="I176" s="27"/>
      <c r="J176" s="192"/>
    </row>
    <row r="177" spans="1:10" x14ac:dyDescent="0.25">
      <c r="A177" s="254"/>
      <c r="B177" s="159"/>
      <c r="C177" s="27"/>
      <c r="D177" s="44"/>
      <c r="E177" s="78" t="s">
        <v>1043</v>
      </c>
      <c r="F177" s="45"/>
      <c r="G177" s="37">
        <v>12</v>
      </c>
      <c r="H177" s="45"/>
      <c r="I177" s="27"/>
      <c r="J177" s="192"/>
    </row>
    <row r="178" spans="1:10" x14ac:dyDescent="0.25">
      <c r="A178" s="254"/>
      <c r="B178" s="159"/>
      <c r="C178" s="27"/>
      <c r="D178" s="44"/>
      <c r="E178" s="78" t="s">
        <v>1033</v>
      </c>
      <c r="F178" s="45"/>
      <c r="G178" s="37">
        <v>12</v>
      </c>
      <c r="H178" s="45"/>
      <c r="I178" s="27"/>
      <c r="J178" s="192"/>
    </row>
    <row r="179" spans="1:10" x14ac:dyDescent="0.25">
      <c r="A179" s="254"/>
      <c r="B179" s="159"/>
      <c r="C179" s="27"/>
      <c r="D179" s="44"/>
      <c r="E179" s="78" t="s">
        <v>1043</v>
      </c>
      <c r="F179" s="45"/>
      <c r="G179" s="37">
        <v>15</v>
      </c>
      <c r="H179" s="45"/>
      <c r="I179" s="27"/>
      <c r="J179" s="192"/>
    </row>
    <row r="180" spans="1:10" x14ac:dyDescent="0.25">
      <c r="A180" s="254"/>
      <c r="B180" s="159"/>
      <c r="C180" s="27"/>
      <c r="D180" s="44"/>
      <c r="E180" s="78" t="s">
        <v>1033</v>
      </c>
      <c r="F180" s="45"/>
      <c r="G180" s="37">
        <v>15</v>
      </c>
      <c r="H180" s="45"/>
      <c r="I180" s="27"/>
      <c r="J180" s="192"/>
    </row>
    <row r="181" spans="1:10" x14ac:dyDescent="0.25">
      <c r="A181" s="254"/>
      <c r="B181" s="159"/>
      <c r="C181" s="27"/>
      <c r="D181" s="44"/>
      <c r="E181" s="78" t="s">
        <v>1043</v>
      </c>
      <c r="F181" s="45"/>
      <c r="G181" s="37">
        <v>18</v>
      </c>
      <c r="H181" s="45"/>
      <c r="I181" s="27"/>
      <c r="J181" s="192"/>
    </row>
    <row r="182" spans="1:10" x14ac:dyDescent="0.25">
      <c r="A182" s="254"/>
      <c r="B182" s="145"/>
      <c r="C182" s="72"/>
      <c r="D182" s="202"/>
      <c r="E182" s="79" t="s">
        <v>1033</v>
      </c>
      <c r="F182" s="196"/>
      <c r="G182" s="146">
        <v>18</v>
      </c>
      <c r="H182" s="196"/>
      <c r="I182" s="72"/>
      <c r="J182" s="147"/>
    </row>
    <row r="183" spans="1:10" x14ac:dyDescent="0.25">
      <c r="A183" s="254"/>
      <c r="B183" s="143">
        <v>19.100000000000001</v>
      </c>
      <c r="C183" s="71" t="s">
        <v>2</v>
      </c>
      <c r="D183" s="201"/>
      <c r="E183" s="77" t="s">
        <v>1044</v>
      </c>
      <c r="F183" s="195"/>
      <c r="G183" s="144">
        <v>19</v>
      </c>
      <c r="H183" s="195"/>
      <c r="I183" s="71" t="s">
        <v>1080</v>
      </c>
      <c r="J183" s="74"/>
    </row>
    <row r="184" spans="1:10" x14ac:dyDescent="0.25">
      <c r="A184" s="254"/>
      <c r="B184" s="145"/>
      <c r="C184" s="72"/>
      <c r="D184" s="202"/>
      <c r="E184" s="79" t="s">
        <v>1039</v>
      </c>
      <c r="F184" s="196"/>
      <c r="G184" s="146">
        <v>19</v>
      </c>
      <c r="H184" s="196"/>
      <c r="I184" s="72"/>
      <c r="J184" s="147"/>
    </row>
    <row r="185" spans="1:10" x14ac:dyDescent="0.25">
      <c r="A185" s="254"/>
      <c r="B185" s="143">
        <v>19.2</v>
      </c>
      <c r="C185" s="71" t="s">
        <v>2</v>
      </c>
      <c r="D185" s="201"/>
      <c r="E185" s="77" t="s">
        <v>1031</v>
      </c>
      <c r="F185" s="195"/>
      <c r="G185" s="144">
        <v>25</v>
      </c>
      <c r="H185" s="195"/>
      <c r="I185" t="s">
        <v>982</v>
      </c>
      <c r="J185" s="71" t="s">
        <v>989</v>
      </c>
    </row>
    <row r="186" spans="1:10" x14ac:dyDescent="0.25">
      <c r="A186" s="254"/>
      <c r="B186" s="159"/>
      <c r="C186" s="27"/>
      <c r="D186" s="44"/>
      <c r="E186" s="78" t="s">
        <v>1038</v>
      </c>
      <c r="F186" s="45"/>
      <c r="G186" s="37">
        <v>50</v>
      </c>
      <c r="H186" s="45"/>
      <c r="I186" s="27"/>
      <c r="J186" s="192"/>
    </row>
    <row r="187" spans="1:10" x14ac:dyDescent="0.25">
      <c r="A187" s="254"/>
      <c r="B187" s="159"/>
      <c r="C187" s="27"/>
      <c r="D187" s="44"/>
      <c r="E187" s="78" t="s">
        <v>1320</v>
      </c>
      <c r="F187" s="45"/>
      <c r="G187" s="37">
        <v>15</v>
      </c>
      <c r="H187" s="45"/>
      <c r="I187" s="27"/>
      <c r="J187" s="192"/>
    </row>
    <row r="188" spans="1:10" x14ac:dyDescent="0.25">
      <c r="A188" s="254"/>
      <c r="B188" s="159"/>
      <c r="C188" s="27"/>
      <c r="D188" s="44"/>
      <c r="E188" s="78" t="s">
        <v>1031</v>
      </c>
      <c r="F188" s="45"/>
      <c r="G188" s="37">
        <v>25</v>
      </c>
      <c r="H188" s="45"/>
      <c r="I188" s="27"/>
      <c r="J188" s="192"/>
    </row>
    <row r="189" spans="1:10" x14ac:dyDescent="0.25">
      <c r="A189" s="254"/>
      <c r="B189" s="159"/>
      <c r="C189" s="27"/>
      <c r="D189" s="44"/>
      <c r="E189" s="78" t="s">
        <v>1038</v>
      </c>
      <c r="F189" s="45"/>
      <c r="G189" s="37">
        <v>50</v>
      </c>
      <c r="H189" s="45"/>
      <c r="I189" s="27"/>
      <c r="J189" s="192"/>
    </row>
    <row r="190" spans="1:10" x14ac:dyDescent="0.25">
      <c r="A190" s="254"/>
      <c r="B190" s="159"/>
      <c r="C190" s="27"/>
      <c r="D190" s="44"/>
      <c r="E190" s="78" t="s">
        <v>1320</v>
      </c>
      <c r="F190" s="45"/>
      <c r="G190" s="37">
        <v>13</v>
      </c>
      <c r="H190" s="45"/>
      <c r="I190" s="27"/>
      <c r="J190" s="192"/>
    </row>
    <row r="191" spans="1:10" x14ac:dyDescent="0.25">
      <c r="A191" s="254"/>
      <c r="B191" s="159"/>
      <c r="C191" s="27"/>
      <c r="D191" s="44"/>
      <c r="E191" s="78" t="s">
        <v>1031</v>
      </c>
      <c r="F191" s="45"/>
      <c r="G191" s="37">
        <v>25</v>
      </c>
      <c r="H191" s="45"/>
      <c r="I191" s="27"/>
      <c r="J191" s="192"/>
    </row>
    <row r="192" spans="1:10" x14ac:dyDescent="0.25">
      <c r="A192" s="254"/>
      <c r="B192" s="159"/>
      <c r="C192" s="27"/>
      <c r="D192" s="44"/>
      <c r="E192" s="78" t="s">
        <v>1038</v>
      </c>
      <c r="F192" s="45"/>
      <c r="G192" s="37">
        <v>50</v>
      </c>
      <c r="H192" s="45"/>
      <c r="I192" s="27"/>
      <c r="J192" s="192"/>
    </row>
    <row r="193" spans="1:10" x14ac:dyDescent="0.25">
      <c r="A193" s="254"/>
      <c r="B193" s="159"/>
      <c r="C193" s="27"/>
      <c r="D193" s="44"/>
      <c r="E193" s="78" t="s">
        <v>1320</v>
      </c>
      <c r="F193" s="45"/>
      <c r="G193" s="37">
        <v>11</v>
      </c>
      <c r="H193" s="45"/>
      <c r="I193" s="27"/>
      <c r="J193" s="192"/>
    </row>
    <row r="194" spans="1:10" x14ac:dyDescent="0.25">
      <c r="A194" s="254"/>
      <c r="B194" s="159"/>
      <c r="C194" s="27"/>
      <c r="D194" s="44"/>
      <c r="E194" s="78" t="s">
        <v>1031</v>
      </c>
      <c r="F194" s="45"/>
      <c r="G194" s="37">
        <v>25</v>
      </c>
      <c r="H194" s="45"/>
      <c r="I194" s="27"/>
      <c r="J194" s="192"/>
    </row>
    <row r="195" spans="1:10" x14ac:dyDescent="0.25">
      <c r="A195" s="254"/>
      <c r="B195" s="159"/>
      <c r="C195" s="27"/>
      <c r="D195" s="44"/>
      <c r="E195" s="78" t="s">
        <v>1038</v>
      </c>
      <c r="F195" s="45"/>
      <c r="G195" s="37">
        <v>50</v>
      </c>
      <c r="H195" s="45"/>
      <c r="I195" s="27"/>
      <c r="J195" s="192"/>
    </row>
    <row r="196" spans="1:10" x14ac:dyDescent="0.25">
      <c r="A196" s="254"/>
      <c r="B196" s="159"/>
      <c r="C196" s="27"/>
      <c r="D196" s="44"/>
      <c r="E196" s="78" t="s">
        <v>1320</v>
      </c>
      <c r="F196" s="45"/>
      <c r="G196" s="37">
        <v>9</v>
      </c>
      <c r="H196" s="45"/>
      <c r="I196" s="27"/>
      <c r="J196" s="192"/>
    </row>
    <row r="197" spans="1:10" x14ac:dyDescent="0.25">
      <c r="A197" s="254"/>
      <c r="B197" s="159"/>
      <c r="C197" s="27"/>
      <c r="D197" s="44"/>
      <c r="E197" s="78" t="s">
        <v>1031</v>
      </c>
      <c r="F197" s="45"/>
      <c r="G197" s="37">
        <v>25</v>
      </c>
      <c r="H197" s="45"/>
      <c r="I197" s="27"/>
      <c r="J197" s="192"/>
    </row>
    <row r="198" spans="1:10" x14ac:dyDescent="0.25">
      <c r="A198" s="254"/>
      <c r="B198" s="159"/>
      <c r="C198" s="27"/>
      <c r="D198" s="44"/>
      <c r="E198" s="78" t="s">
        <v>1038</v>
      </c>
      <c r="F198" s="45"/>
      <c r="G198" s="37">
        <v>50</v>
      </c>
      <c r="H198" s="45"/>
      <c r="I198" s="27"/>
      <c r="J198" s="192"/>
    </row>
    <row r="199" spans="1:10" x14ac:dyDescent="0.25">
      <c r="A199" s="254"/>
      <c r="B199" s="145"/>
      <c r="C199" s="72"/>
      <c r="D199" s="202"/>
      <c r="E199" s="79" t="s">
        <v>1320</v>
      </c>
      <c r="F199" s="196"/>
      <c r="G199" s="146">
        <v>7</v>
      </c>
      <c r="H199" s="196"/>
      <c r="I199" s="72"/>
      <c r="J199" s="147"/>
    </row>
    <row r="200" spans="1:10" x14ac:dyDescent="0.25">
      <c r="A200" s="254"/>
      <c r="B200" s="143">
        <v>19.3</v>
      </c>
      <c r="C200" s="71" t="s">
        <v>259</v>
      </c>
      <c r="D200" s="201"/>
      <c r="E200" s="77" t="s">
        <v>1045</v>
      </c>
      <c r="F200" s="195"/>
      <c r="G200" s="144">
        <v>200</v>
      </c>
      <c r="H200" s="195"/>
      <c r="I200" t="s">
        <v>982</v>
      </c>
      <c r="J200" s="71" t="s">
        <v>1066</v>
      </c>
    </row>
    <row r="201" spans="1:10" x14ac:dyDescent="0.25">
      <c r="A201" s="254"/>
      <c r="B201" s="159"/>
      <c r="C201" s="27"/>
      <c r="D201" s="44"/>
      <c r="E201" s="78" t="s">
        <v>1046</v>
      </c>
      <c r="F201" s="45"/>
      <c r="G201" s="37">
        <v>50</v>
      </c>
      <c r="H201" s="45"/>
      <c r="I201" s="27"/>
      <c r="J201" s="192"/>
    </row>
    <row r="202" spans="1:10" x14ac:dyDescent="0.25">
      <c r="A202" s="254"/>
      <c r="B202" s="159"/>
      <c r="C202" s="27"/>
      <c r="D202" s="44"/>
      <c r="E202" s="78" t="s">
        <v>1047</v>
      </c>
      <c r="F202" s="45"/>
      <c r="G202" s="37">
        <v>50</v>
      </c>
      <c r="H202" s="45"/>
      <c r="I202" s="27"/>
      <c r="J202" s="192"/>
    </row>
    <row r="203" spans="1:10" x14ac:dyDescent="0.25">
      <c r="A203" s="254"/>
      <c r="B203" s="145"/>
      <c r="C203" s="72"/>
      <c r="D203" s="202"/>
      <c r="E203" s="79" t="s">
        <v>1042</v>
      </c>
      <c r="F203" s="196"/>
      <c r="G203" s="146">
        <v>200</v>
      </c>
      <c r="H203" s="196"/>
      <c r="I203" s="72"/>
      <c r="J203" s="147"/>
    </row>
    <row r="204" spans="1:10" x14ac:dyDescent="0.25">
      <c r="A204" s="254"/>
      <c r="B204" s="143">
        <v>19.399999999999999</v>
      </c>
      <c r="C204" s="71" t="s">
        <v>658</v>
      </c>
      <c r="D204" s="201"/>
      <c r="E204" s="77" t="s">
        <v>1048</v>
      </c>
      <c r="F204" s="195"/>
      <c r="G204" s="144">
        <v>10</v>
      </c>
      <c r="H204" s="195"/>
      <c r="I204" s="71" t="s">
        <v>982</v>
      </c>
      <c r="J204" s="74" t="s">
        <v>1077</v>
      </c>
    </row>
    <row r="205" spans="1:10" x14ac:dyDescent="0.25">
      <c r="A205" s="254"/>
      <c r="B205" s="159"/>
      <c r="C205" s="27"/>
      <c r="D205" s="44"/>
      <c r="E205" s="78" t="s">
        <v>1049</v>
      </c>
      <c r="F205" s="45"/>
      <c r="G205" s="37">
        <v>12</v>
      </c>
      <c r="H205" s="45"/>
      <c r="I205" s="27"/>
      <c r="J205" s="192"/>
    </row>
    <row r="206" spans="1:10" x14ac:dyDescent="0.25">
      <c r="A206" s="254"/>
      <c r="B206" s="159"/>
      <c r="C206" s="27"/>
      <c r="D206" s="44"/>
      <c r="E206" s="78" t="s">
        <v>1032</v>
      </c>
      <c r="F206" s="45"/>
      <c r="G206" s="37">
        <v>10</v>
      </c>
      <c r="H206" s="45"/>
      <c r="I206" s="27"/>
      <c r="J206" s="192"/>
    </row>
    <row r="207" spans="1:10" x14ac:dyDescent="0.25">
      <c r="A207" s="254"/>
      <c r="B207" s="145"/>
      <c r="C207" s="72"/>
      <c r="D207" s="202"/>
      <c r="E207" s="79" t="s">
        <v>1049</v>
      </c>
      <c r="F207" s="196"/>
      <c r="G207" s="146">
        <v>12</v>
      </c>
      <c r="H207" s="196"/>
      <c r="I207" s="72"/>
      <c r="J207" s="147"/>
    </row>
    <row r="208" spans="1:10" x14ac:dyDescent="0.25">
      <c r="A208" s="254"/>
      <c r="B208" s="143">
        <v>19.5</v>
      </c>
      <c r="C208" s="71"/>
      <c r="D208" s="201"/>
      <c r="E208" s="77" t="s">
        <v>1050</v>
      </c>
      <c r="F208" s="195"/>
      <c r="G208" s="144">
        <v>33</v>
      </c>
      <c r="H208" s="195"/>
      <c r="I208" s="71" t="s">
        <v>982</v>
      </c>
      <c r="J208" s="74" t="s">
        <v>989</v>
      </c>
    </row>
    <row r="209" spans="1:10" x14ac:dyDescent="0.25">
      <c r="A209" s="254"/>
      <c r="B209" s="159"/>
      <c r="C209" s="27"/>
      <c r="D209" s="44"/>
      <c r="E209" s="78" t="s">
        <v>1051</v>
      </c>
      <c r="F209" s="45"/>
      <c r="G209" s="37">
        <v>95</v>
      </c>
      <c r="H209" s="45"/>
      <c r="I209" s="27"/>
      <c r="J209" s="192"/>
    </row>
    <row r="210" spans="1:10" x14ac:dyDescent="0.25">
      <c r="A210" s="254"/>
      <c r="B210" s="145"/>
      <c r="C210" s="72"/>
      <c r="D210" s="202"/>
      <c r="E210" s="79" t="s">
        <v>392</v>
      </c>
      <c r="F210" s="196"/>
      <c r="G210" s="146"/>
      <c r="H210" s="196"/>
      <c r="I210" s="72"/>
      <c r="J210" s="147"/>
    </row>
    <row r="211" spans="1:10" x14ac:dyDescent="0.25">
      <c r="A211" s="254"/>
      <c r="B211" s="143">
        <v>20.100000000000001</v>
      </c>
      <c r="C211" s="71"/>
      <c r="D211" s="201"/>
      <c r="E211" s="77" t="s">
        <v>1052</v>
      </c>
      <c r="F211" s="195"/>
      <c r="G211" s="144">
        <v>10</v>
      </c>
      <c r="H211" s="195"/>
      <c r="I211" s="71" t="s">
        <v>1080</v>
      </c>
      <c r="J211" s="74"/>
    </row>
    <row r="212" spans="1:10" x14ac:dyDescent="0.25">
      <c r="A212" s="254"/>
      <c r="B212" s="159"/>
      <c r="C212" s="27" t="s">
        <v>1321</v>
      </c>
      <c r="D212" s="44"/>
      <c r="E212" s="78" t="s">
        <v>1053</v>
      </c>
      <c r="F212" s="45"/>
      <c r="G212" s="37">
        <v>8</v>
      </c>
      <c r="H212" s="45"/>
      <c r="I212" s="27"/>
      <c r="J212" s="192"/>
    </row>
    <row r="213" spans="1:10" x14ac:dyDescent="0.25">
      <c r="A213" s="254"/>
      <c r="B213" s="145"/>
      <c r="C213" s="72"/>
      <c r="D213" s="202"/>
      <c r="E213" s="79" t="s">
        <v>1049</v>
      </c>
      <c r="F213" s="196"/>
      <c r="G213" s="146">
        <v>10</v>
      </c>
      <c r="H213" s="196"/>
      <c r="I213" s="72"/>
      <c r="J213" s="147"/>
    </row>
    <row r="214" spans="1:10" x14ac:dyDescent="0.25">
      <c r="A214" s="254"/>
      <c r="B214" s="143">
        <v>20.2</v>
      </c>
      <c r="C214" s="71" t="s">
        <v>2</v>
      </c>
      <c r="D214" s="201"/>
      <c r="E214" s="77" t="s">
        <v>1054</v>
      </c>
      <c r="F214" s="195"/>
      <c r="G214" s="71"/>
      <c r="H214" s="201"/>
      <c r="I214" s="71" t="s">
        <v>989</v>
      </c>
      <c r="J214" s="212"/>
    </row>
    <row r="215" spans="1:10" x14ac:dyDescent="0.25">
      <c r="A215" s="254"/>
      <c r="B215" s="159"/>
      <c r="C215" s="27"/>
      <c r="D215" s="44"/>
      <c r="E215" s="78" t="s">
        <v>1055</v>
      </c>
      <c r="F215" s="45"/>
      <c r="G215" s="37">
        <v>4</v>
      </c>
      <c r="H215" s="45"/>
      <c r="I215" s="27"/>
      <c r="J215" s="192"/>
    </row>
    <row r="216" spans="1:10" x14ac:dyDescent="0.25">
      <c r="A216" s="254"/>
      <c r="B216" s="159"/>
      <c r="C216" s="27"/>
      <c r="D216" s="44"/>
      <c r="E216" s="78" t="s">
        <v>1031</v>
      </c>
      <c r="F216" s="45"/>
      <c r="G216" s="37">
        <v>6</v>
      </c>
      <c r="H216" s="45"/>
      <c r="I216" s="27"/>
      <c r="J216" s="192"/>
    </row>
    <row r="217" spans="1:10" x14ac:dyDescent="0.25">
      <c r="A217" s="254"/>
      <c r="B217" s="145"/>
      <c r="C217" s="72"/>
      <c r="D217" s="202"/>
      <c r="E217" s="79" t="s">
        <v>1038</v>
      </c>
      <c r="F217" s="196"/>
      <c r="G217" s="146">
        <v>24</v>
      </c>
      <c r="H217" s="196"/>
      <c r="I217" s="72"/>
      <c r="J217" s="147"/>
    </row>
    <row r="218" spans="1:10" x14ac:dyDescent="0.25">
      <c r="A218" s="254"/>
      <c r="B218" s="143" t="s">
        <v>167</v>
      </c>
      <c r="C218" s="71"/>
      <c r="D218" s="201"/>
      <c r="E218" s="77" t="s">
        <v>1316</v>
      </c>
      <c r="F218" s="195"/>
      <c r="G218" s="144">
        <v>21</v>
      </c>
      <c r="H218" s="195"/>
      <c r="I218" s="71" t="s">
        <v>1317</v>
      </c>
      <c r="J218" s="74"/>
    </row>
    <row r="219" spans="1:10" x14ac:dyDescent="0.25">
      <c r="A219" s="254"/>
      <c r="B219" s="159"/>
      <c r="C219" s="27"/>
      <c r="D219" s="44"/>
      <c r="E219" s="78" t="s">
        <v>1037</v>
      </c>
      <c r="F219" s="45"/>
      <c r="G219" s="37">
        <v>21</v>
      </c>
      <c r="H219" s="45"/>
      <c r="I219" s="27"/>
      <c r="J219" s="192"/>
    </row>
    <row r="220" spans="1:10" x14ac:dyDescent="0.25">
      <c r="A220" s="254"/>
      <c r="B220" s="159"/>
      <c r="C220" s="27"/>
      <c r="D220" s="44"/>
      <c r="E220" s="78" t="s">
        <v>1316</v>
      </c>
      <c r="F220" s="45"/>
      <c r="G220" s="37">
        <v>15</v>
      </c>
      <c r="H220" s="45"/>
      <c r="I220" s="27"/>
      <c r="J220" s="192"/>
    </row>
    <row r="221" spans="1:10" x14ac:dyDescent="0.25">
      <c r="A221" s="254"/>
      <c r="B221" s="159"/>
      <c r="C221" s="27"/>
      <c r="D221" s="44"/>
      <c r="E221" s="78" t="s">
        <v>1037</v>
      </c>
      <c r="F221" s="45"/>
      <c r="G221" s="37">
        <v>15</v>
      </c>
      <c r="H221" s="45"/>
      <c r="I221" s="27"/>
      <c r="J221" s="192"/>
    </row>
    <row r="222" spans="1:10" x14ac:dyDescent="0.25">
      <c r="A222" s="254"/>
      <c r="B222" s="159"/>
      <c r="C222" s="27"/>
      <c r="D222" s="44"/>
      <c r="E222" s="78" t="s">
        <v>1316</v>
      </c>
      <c r="F222" s="45"/>
      <c r="G222" s="37">
        <v>9</v>
      </c>
      <c r="H222" s="45"/>
      <c r="I222" s="27"/>
      <c r="J222" s="192"/>
    </row>
    <row r="223" spans="1:10" x14ac:dyDescent="0.25">
      <c r="A223" s="254"/>
      <c r="B223" s="159"/>
      <c r="C223" s="27"/>
      <c r="D223" s="44"/>
      <c r="E223" s="78" t="s">
        <v>1037</v>
      </c>
      <c r="F223" s="45"/>
      <c r="G223" s="37">
        <v>9</v>
      </c>
      <c r="H223" s="45"/>
      <c r="I223" s="27"/>
      <c r="J223" s="192"/>
    </row>
    <row r="224" spans="1:10" x14ac:dyDescent="0.25">
      <c r="A224" s="254"/>
      <c r="B224" s="159"/>
      <c r="C224" s="27"/>
      <c r="D224" s="44"/>
      <c r="E224" s="78" t="s">
        <v>1316</v>
      </c>
      <c r="F224" s="45"/>
      <c r="G224" s="37">
        <v>21</v>
      </c>
      <c r="H224" s="45"/>
      <c r="I224" s="27"/>
      <c r="J224" s="192"/>
    </row>
    <row r="225" spans="1:10" x14ac:dyDescent="0.25">
      <c r="A225" s="254"/>
      <c r="B225" s="159"/>
      <c r="C225" s="27"/>
      <c r="D225" s="44"/>
      <c r="E225" s="78" t="s">
        <v>1042</v>
      </c>
      <c r="F225" s="45"/>
      <c r="G225" s="37">
        <v>50</v>
      </c>
      <c r="H225" s="45"/>
      <c r="I225" s="27"/>
      <c r="J225" s="192"/>
    </row>
    <row r="226" spans="1:10" x14ac:dyDescent="0.25">
      <c r="A226" s="254"/>
      <c r="B226" s="159"/>
      <c r="C226" s="27"/>
      <c r="D226" s="44"/>
      <c r="E226" s="78" t="s">
        <v>1316</v>
      </c>
      <c r="F226" s="45"/>
      <c r="G226" s="37">
        <v>15</v>
      </c>
      <c r="H226" s="45"/>
      <c r="I226" s="27"/>
      <c r="J226" s="192"/>
    </row>
    <row r="227" spans="1:10" x14ac:dyDescent="0.25">
      <c r="A227" s="254"/>
      <c r="B227" s="159"/>
      <c r="C227" s="27"/>
      <c r="D227" s="44"/>
      <c r="E227" s="78" t="s">
        <v>1042</v>
      </c>
      <c r="F227" s="45"/>
      <c r="G227" s="37">
        <v>50</v>
      </c>
      <c r="H227" s="45"/>
      <c r="I227" s="27"/>
      <c r="J227" s="192"/>
    </row>
    <row r="228" spans="1:10" x14ac:dyDescent="0.25">
      <c r="A228" s="254"/>
      <c r="B228" s="159"/>
      <c r="C228" s="27"/>
      <c r="D228" s="44"/>
      <c r="E228" s="78" t="s">
        <v>1316</v>
      </c>
      <c r="F228" s="45"/>
      <c r="G228" s="37">
        <v>9</v>
      </c>
      <c r="H228" s="45"/>
      <c r="I228" s="27"/>
      <c r="J228" s="192"/>
    </row>
    <row r="229" spans="1:10" x14ac:dyDescent="0.25">
      <c r="A229" s="254"/>
      <c r="B229" s="145"/>
      <c r="C229" s="72"/>
      <c r="D229" s="202"/>
      <c r="E229" s="79" t="s">
        <v>1042</v>
      </c>
      <c r="F229" s="196"/>
      <c r="G229" s="146">
        <v>50</v>
      </c>
      <c r="H229" s="196"/>
      <c r="I229" s="72"/>
      <c r="J229" s="147"/>
    </row>
    <row r="230" spans="1:10" x14ac:dyDescent="0.25">
      <c r="A230" s="254"/>
      <c r="B230" s="143" t="s">
        <v>179</v>
      </c>
      <c r="C230" s="71"/>
      <c r="D230" s="201"/>
      <c r="E230" s="77" t="s">
        <v>1056</v>
      </c>
      <c r="F230" s="195"/>
      <c r="G230" s="144">
        <v>30</v>
      </c>
      <c r="H230" s="195"/>
      <c r="I230" s="71" t="s">
        <v>989</v>
      </c>
      <c r="J230" s="74"/>
    </row>
    <row r="231" spans="1:10" x14ac:dyDescent="0.25">
      <c r="A231" s="254"/>
      <c r="B231" s="159"/>
      <c r="C231" s="27"/>
      <c r="D231" s="44"/>
      <c r="E231" s="78" t="s">
        <v>1057</v>
      </c>
      <c r="F231" s="45"/>
      <c r="G231" s="37">
        <v>15</v>
      </c>
      <c r="H231" s="45"/>
      <c r="I231" s="27"/>
      <c r="J231" s="192"/>
    </row>
    <row r="232" spans="1:10" x14ac:dyDescent="0.25">
      <c r="A232" s="254"/>
      <c r="B232" s="159"/>
      <c r="C232" s="27"/>
      <c r="D232" s="44"/>
      <c r="E232" s="78" t="s">
        <v>1056</v>
      </c>
      <c r="F232" s="45"/>
      <c r="G232" s="37">
        <v>30</v>
      </c>
      <c r="H232" s="45"/>
      <c r="I232" s="27"/>
      <c r="J232" s="192"/>
    </row>
    <row r="233" spans="1:10" x14ac:dyDescent="0.25">
      <c r="A233" s="254"/>
      <c r="B233" s="159"/>
      <c r="C233" s="27"/>
      <c r="D233" s="44"/>
      <c r="E233" s="78" t="s">
        <v>1058</v>
      </c>
      <c r="F233" s="45"/>
      <c r="G233" s="37">
        <v>15</v>
      </c>
      <c r="H233" s="45"/>
      <c r="I233" s="27"/>
      <c r="J233" s="192"/>
    </row>
    <row r="234" spans="1:10" x14ac:dyDescent="0.25">
      <c r="A234" s="254"/>
      <c r="B234" s="159"/>
      <c r="C234" s="27"/>
      <c r="D234" s="44"/>
      <c r="E234" s="78" t="s">
        <v>1056</v>
      </c>
      <c r="F234" s="45"/>
      <c r="G234" s="37">
        <v>30</v>
      </c>
      <c r="H234" s="45"/>
      <c r="I234" s="27"/>
      <c r="J234" s="192"/>
    </row>
    <row r="235" spans="1:10" x14ac:dyDescent="0.25">
      <c r="A235" s="254"/>
      <c r="B235" s="159"/>
      <c r="C235" s="27"/>
      <c r="D235" s="44"/>
      <c r="E235" s="78" t="s">
        <v>1059</v>
      </c>
      <c r="F235" s="45"/>
      <c r="G235" s="37">
        <v>10</v>
      </c>
      <c r="H235" s="45"/>
      <c r="I235" s="27"/>
      <c r="J235" s="192"/>
    </row>
    <row r="236" spans="1:10" x14ac:dyDescent="0.25">
      <c r="A236" s="254"/>
      <c r="B236" s="159"/>
      <c r="C236" s="27"/>
      <c r="D236" s="44"/>
      <c r="E236" s="78" t="s">
        <v>1060</v>
      </c>
      <c r="F236" s="45"/>
      <c r="G236" s="37">
        <v>30</v>
      </c>
      <c r="H236" s="45"/>
      <c r="I236" s="27"/>
      <c r="J236" s="192"/>
    </row>
    <row r="237" spans="1:10" x14ac:dyDescent="0.25">
      <c r="A237" s="254"/>
      <c r="B237" s="159"/>
      <c r="C237" s="27"/>
      <c r="D237" s="44"/>
      <c r="E237" s="78" t="s">
        <v>1061</v>
      </c>
      <c r="F237" s="45"/>
      <c r="G237" s="37">
        <v>10</v>
      </c>
      <c r="H237" s="45"/>
      <c r="I237" s="27"/>
      <c r="J237" s="192"/>
    </row>
    <row r="238" spans="1:10" x14ac:dyDescent="0.25">
      <c r="A238" s="254"/>
      <c r="B238" s="159"/>
      <c r="C238" s="27"/>
      <c r="D238" s="44"/>
      <c r="E238" s="78" t="s">
        <v>1060</v>
      </c>
      <c r="F238" s="45"/>
      <c r="G238" s="37">
        <v>30</v>
      </c>
      <c r="H238" s="45"/>
      <c r="I238" s="27"/>
      <c r="J238" s="192"/>
    </row>
    <row r="239" spans="1:10" x14ac:dyDescent="0.25">
      <c r="A239" s="254"/>
      <c r="B239" s="159"/>
      <c r="C239" s="27"/>
      <c r="D239" s="44"/>
      <c r="E239" s="78" t="s">
        <v>1062</v>
      </c>
      <c r="F239" s="45"/>
      <c r="G239" s="37">
        <v>5</v>
      </c>
      <c r="H239" s="45"/>
      <c r="I239" s="27"/>
      <c r="J239" s="192"/>
    </row>
    <row r="240" spans="1:10" x14ac:dyDescent="0.25">
      <c r="A240" s="254"/>
      <c r="B240" s="159"/>
      <c r="C240" s="27"/>
      <c r="D240" s="44"/>
      <c r="E240" s="78" t="s">
        <v>1060</v>
      </c>
      <c r="F240" s="45"/>
      <c r="G240" s="37">
        <v>30</v>
      </c>
      <c r="H240" s="45"/>
      <c r="I240" s="27"/>
      <c r="J240" s="192"/>
    </row>
    <row r="241" spans="1:10" x14ac:dyDescent="0.25">
      <c r="A241" s="254"/>
      <c r="B241" s="145"/>
      <c r="C241" s="72"/>
      <c r="D241" s="202"/>
      <c r="E241" s="79" t="s">
        <v>1063</v>
      </c>
      <c r="F241" s="196"/>
      <c r="G241" s="146">
        <v>5</v>
      </c>
      <c r="H241" s="196"/>
      <c r="I241" s="72"/>
      <c r="J241" s="147"/>
    </row>
    <row r="242" spans="1:10" x14ac:dyDescent="0.25">
      <c r="A242" s="254"/>
      <c r="B242" s="143" t="s">
        <v>189</v>
      </c>
      <c r="C242" s="71"/>
      <c r="D242" s="201"/>
      <c r="E242" s="77" t="s">
        <v>1064</v>
      </c>
      <c r="F242" s="195"/>
      <c r="G242" s="144">
        <v>40</v>
      </c>
      <c r="H242" s="195"/>
      <c r="I242" s="71" t="s">
        <v>989</v>
      </c>
      <c r="J242" s="74"/>
    </row>
    <row r="243" spans="1:10" x14ac:dyDescent="0.25">
      <c r="A243" s="254"/>
      <c r="B243" s="159"/>
      <c r="C243" s="27"/>
      <c r="D243" s="44"/>
      <c r="E243" s="78" t="s">
        <v>284</v>
      </c>
      <c r="F243" s="45"/>
      <c r="G243" s="37">
        <v>80</v>
      </c>
      <c r="H243" s="45"/>
      <c r="I243" s="27"/>
      <c r="J243" s="192"/>
    </row>
    <row r="244" spans="1:10" x14ac:dyDescent="0.25">
      <c r="A244" s="254"/>
      <c r="B244" s="145"/>
      <c r="C244" s="72"/>
      <c r="D244" s="202"/>
      <c r="E244" s="79" t="s">
        <v>1065</v>
      </c>
      <c r="F244" s="196"/>
      <c r="G244" s="146">
        <v>120</v>
      </c>
      <c r="H244" s="196"/>
      <c r="I244" s="72"/>
      <c r="J244" s="147"/>
    </row>
    <row r="245" spans="1:10" x14ac:dyDescent="0.25">
      <c r="G245" s="20"/>
      <c r="H245" s="197"/>
    </row>
  </sheetData>
  <mergeCells count="2">
    <mergeCell ref="B1:C1"/>
    <mergeCell ref="A2:A244"/>
  </mergeCells>
  <phoneticPr fontId="2" type="noConversion"/>
  <pageMargins left="0.7" right="0.7" top="0.75" bottom="0.75" header="0.3" footer="0.3"/>
  <pageSetup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56C1-38B4-4247-9068-2BE6D3850E0C}">
  <sheetPr>
    <pageSetUpPr fitToPage="1"/>
  </sheetPr>
  <dimension ref="B3:K615"/>
  <sheetViews>
    <sheetView zoomScale="85" zoomScaleNormal="85" workbookViewId="0">
      <selection activeCell="K43" sqref="K43:K50"/>
    </sheetView>
  </sheetViews>
  <sheetFormatPr defaultColWidth="9.125" defaultRowHeight="11.55" x14ac:dyDescent="0.2"/>
  <cols>
    <col min="1" max="1" width="9.125" style="4"/>
    <col min="2" max="2" width="12.75" style="4" customWidth="1"/>
    <col min="3" max="3" width="31.375" style="4" customWidth="1"/>
    <col min="4" max="4" width="23.625" style="22" customWidth="1"/>
    <col min="5" max="5" width="38.25" style="4" customWidth="1"/>
    <col min="6" max="6" width="4" style="4" customWidth="1"/>
    <col min="7" max="7" width="12.75" style="4" customWidth="1"/>
    <col min="8" max="8" width="12.375" style="4" customWidth="1"/>
    <col min="9" max="9" width="57.625" style="4" customWidth="1"/>
    <col min="10" max="10" width="20.875" style="4" customWidth="1"/>
    <col min="11" max="258" width="9.125" style="4"/>
    <col min="259" max="259" width="12.75" style="4" customWidth="1"/>
    <col min="260" max="260" width="32.75" style="4" customWidth="1"/>
    <col min="261" max="261" width="52.75" style="4" customWidth="1"/>
    <col min="262" max="262" width="4" style="4" customWidth="1"/>
    <col min="263" max="263" width="12.75" style="4" customWidth="1"/>
    <col min="264" max="264" width="32.75" style="4" customWidth="1"/>
    <col min="265" max="265" width="52.75" style="4" customWidth="1"/>
    <col min="266" max="514" width="9.125" style="4"/>
    <col min="515" max="515" width="12.75" style="4" customWidth="1"/>
    <col min="516" max="516" width="32.75" style="4" customWidth="1"/>
    <col min="517" max="517" width="52.75" style="4" customWidth="1"/>
    <col min="518" max="518" width="4" style="4" customWidth="1"/>
    <col min="519" max="519" width="12.75" style="4" customWidth="1"/>
    <col min="520" max="520" width="32.75" style="4" customWidth="1"/>
    <col min="521" max="521" width="52.75" style="4" customWidth="1"/>
    <col min="522" max="770" width="9.125" style="4"/>
    <col min="771" max="771" width="12.75" style="4" customWidth="1"/>
    <col min="772" max="772" width="32.75" style="4" customWidth="1"/>
    <col min="773" max="773" width="52.75" style="4" customWidth="1"/>
    <col min="774" max="774" width="4" style="4" customWidth="1"/>
    <col min="775" max="775" width="12.75" style="4" customWidth="1"/>
    <col min="776" max="776" width="32.75" style="4" customWidth="1"/>
    <col min="777" max="777" width="52.75" style="4" customWidth="1"/>
    <col min="778" max="1026" width="9.125" style="4"/>
    <col min="1027" max="1027" width="12.75" style="4" customWidth="1"/>
    <col min="1028" max="1028" width="32.75" style="4" customWidth="1"/>
    <col min="1029" max="1029" width="52.75" style="4" customWidth="1"/>
    <col min="1030" max="1030" width="4" style="4" customWidth="1"/>
    <col min="1031" max="1031" width="12.75" style="4" customWidth="1"/>
    <col min="1032" max="1032" width="32.75" style="4" customWidth="1"/>
    <col min="1033" max="1033" width="52.75" style="4" customWidth="1"/>
    <col min="1034" max="1282" width="9.125" style="4"/>
    <col min="1283" max="1283" width="12.75" style="4" customWidth="1"/>
    <col min="1284" max="1284" width="32.75" style="4" customWidth="1"/>
    <col min="1285" max="1285" width="52.75" style="4" customWidth="1"/>
    <col min="1286" max="1286" width="4" style="4" customWidth="1"/>
    <col min="1287" max="1287" width="12.75" style="4" customWidth="1"/>
    <col min="1288" max="1288" width="32.75" style="4" customWidth="1"/>
    <col min="1289" max="1289" width="52.75" style="4" customWidth="1"/>
    <col min="1290" max="1538" width="9.125" style="4"/>
    <col min="1539" max="1539" width="12.75" style="4" customWidth="1"/>
    <col min="1540" max="1540" width="32.75" style="4" customWidth="1"/>
    <col min="1541" max="1541" width="52.75" style="4" customWidth="1"/>
    <col min="1542" max="1542" width="4" style="4" customWidth="1"/>
    <col min="1543" max="1543" width="12.75" style="4" customWidth="1"/>
    <col min="1544" max="1544" width="32.75" style="4" customWidth="1"/>
    <col min="1545" max="1545" width="52.75" style="4" customWidth="1"/>
    <col min="1546" max="1794" width="9.125" style="4"/>
    <col min="1795" max="1795" width="12.75" style="4" customWidth="1"/>
    <col min="1796" max="1796" width="32.75" style="4" customWidth="1"/>
    <col min="1797" max="1797" width="52.75" style="4" customWidth="1"/>
    <col min="1798" max="1798" width="4" style="4" customWidth="1"/>
    <col min="1799" max="1799" width="12.75" style="4" customWidth="1"/>
    <col min="1800" max="1800" width="32.75" style="4" customWidth="1"/>
    <col min="1801" max="1801" width="52.75" style="4" customWidth="1"/>
    <col min="1802" max="2050" width="9.125" style="4"/>
    <col min="2051" max="2051" width="12.75" style="4" customWidth="1"/>
    <col min="2052" max="2052" width="32.75" style="4" customWidth="1"/>
    <col min="2053" max="2053" width="52.75" style="4" customWidth="1"/>
    <col min="2054" max="2054" width="4" style="4" customWidth="1"/>
    <col min="2055" max="2055" width="12.75" style="4" customWidth="1"/>
    <col min="2056" max="2056" width="32.75" style="4" customWidth="1"/>
    <col min="2057" max="2057" width="52.75" style="4" customWidth="1"/>
    <col min="2058" max="2306" width="9.125" style="4"/>
    <col min="2307" max="2307" width="12.75" style="4" customWidth="1"/>
    <col min="2308" max="2308" width="32.75" style="4" customWidth="1"/>
    <col min="2309" max="2309" width="52.75" style="4" customWidth="1"/>
    <col min="2310" max="2310" width="4" style="4" customWidth="1"/>
    <col min="2311" max="2311" width="12.75" style="4" customWidth="1"/>
    <col min="2312" max="2312" width="32.75" style="4" customWidth="1"/>
    <col min="2313" max="2313" width="52.75" style="4" customWidth="1"/>
    <col min="2314" max="2562" width="9.125" style="4"/>
    <col min="2563" max="2563" width="12.75" style="4" customWidth="1"/>
    <col min="2564" max="2564" width="32.75" style="4" customWidth="1"/>
    <col min="2565" max="2565" width="52.75" style="4" customWidth="1"/>
    <col min="2566" max="2566" width="4" style="4" customWidth="1"/>
    <col min="2567" max="2567" width="12.75" style="4" customWidth="1"/>
    <col min="2568" max="2568" width="32.75" style="4" customWidth="1"/>
    <col min="2569" max="2569" width="52.75" style="4" customWidth="1"/>
    <col min="2570" max="2818" width="9.125" style="4"/>
    <col min="2819" max="2819" width="12.75" style="4" customWidth="1"/>
    <col min="2820" max="2820" width="32.75" style="4" customWidth="1"/>
    <col min="2821" max="2821" width="52.75" style="4" customWidth="1"/>
    <col min="2822" max="2822" width="4" style="4" customWidth="1"/>
    <col min="2823" max="2823" width="12.75" style="4" customWidth="1"/>
    <col min="2824" max="2824" width="32.75" style="4" customWidth="1"/>
    <col min="2825" max="2825" width="52.75" style="4" customWidth="1"/>
    <col min="2826" max="3074" width="9.125" style="4"/>
    <col min="3075" max="3075" width="12.75" style="4" customWidth="1"/>
    <col min="3076" max="3076" width="32.75" style="4" customWidth="1"/>
    <col min="3077" max="3077" width="52.75" style="4" customWidth="1"/>
    <col min="3078" max="3078" width="4" style="4" customWidth="1"/>
    <col min="3079" max="3079" width="12.75" style="4" customWidth="1"/>
    <col min="3080" max="3080" width="32.75" style="4" customWidth="1"/>
    <col min="3081" max="3081" width="52.75" style="4" customWidth="1"/>
    <col min="3082" max="3330" width="9.125" style="4"/>
    <col min="3331" max="3331" width="12.75" style="4" customWidth="1"/>
    <col min="3332" max="3332" width="32.75" style="4" customWidth="1"/>
    <col min="3333" max="3333" width="52.75" style="4" customWidth="1"/>
    <col min="3334" max="3334" width="4" style="4" customWidth="1"/>
    <col min="3335" max="3335" width="12.75" style="4" customWidth="1"/>
    <col min="3336" max="3336" width="32.75" style="4" customWidth="1"/>
    <col min="3337" max="3337" width="52.75" style="4" customWidth="1"/>
    <col min="3338" max="3586" width="9.125" style="4"/>
    <col min="3587" max="3587" width="12.75" style="4" customWidth="1"/>
    <col min="3588" max="3588" width="32.75" style="4" customWidth="1"/>
    <col min="3589" max="3589" width="52.75" style="4" customWidth="1"/>
    <col min="3590" max="3590" width="4" style="4" customWidth="1"/>
    <col min="3591" max="3591" width="12.75" style="4" customWidth="1"/>
    <col min="3592" max="3592" width="32.75" style="4" customWidth="1"/>
    <col min="3593" max="3593" width="52.75" style="4" customWidth="1"/>
    <col min="3594" max="3842" width="9.125" style="4"/>
    <col min="3843" max="3843" width="12.75" style="4" customWidth="1"/>
    <col min="3844" max="3844" width="32.75" style="4" customWidth="1"/>
    <col min="3845" max="3845" width="52.75" style="4" customWidth="1"/>
    <col min="3846" max="3846" width="4" style="4" customWidth="1"/>
    <col min="3847" max="3847" width="12.75" style="4" customWidth="1"/>
    <col min="3848" max="3848" width="32.75" style="4" customWidth="1"/>
    <col min="3849" max="3849" width="52.75" style="4" customWidth="1"/>
    <col min="3850" max="4098" width="9.125" style="4"/>
    <col min="4099" max="4099" width="12.75" style="4" customWidth="1"/>
    <col min="4100" max="4100" width="32.75" style="4" customWidth="1"/>
    <col min="4101" max="4101" width="52.75" style="4" customWidth="1"/>
    <col min="4102" max="4102" width="4" style="4" customWidth="1"/>
    <col min="4103" max="4103" width="12.75" style="4" customWidth="1"/>
    <col min="4104" max="4104" width="32.75" style="4" customWidth="1"/>
    <col min="4105" max="4105" width="52.75" style="4" customWidth="1"/>
    <col min="4106" max="4354" width="9.125" style="4"/>
    <col min="4355" max="4355" width="12.75" style="4" customWidth="1"/>
    <col min="4356" max="4356" width="32.75" style="4" customWidth="1"/>
    <col min="4357" max="4357" width="52.75" style="4" customWidth="1"/>
    <col min="4358" max="4358" width="4" style="4" customWidth="1"/>
    <col min="4359" max="4359" width="12.75" style="4" customWidth="1"/>
    <col min="4360" max="4360" width="32.75" style="4" customWidth="1"/>
    <col min="4361" max="4361" width="52.75" style="4" customWidth="1"/>
    <col min="4362" max="4610" width="9.125" style="4"/>
    <col min="4611" max="4611" width="12.75" style="4" customWidth="1"/>
    <col min="4612" max="4612" width="32.75" style="4" customWidth="1"/>
    <col min="4613" max="4613" width="52.75" style="4" customWidth="1"/>
    <col min="4614" max="4614" width="4" style="4" customWidth="1"/>
    <col min="4615" max="4615" width="12.75" style="4" customWidth="1"/>
    <col min="4616" max="4616" width="32.75" style="4" customWidth="1"/>
    <col min="4617" max="4617" width="52.75" style="4" customWidth="1"/>
    <col min="4618" max="4866" width="9.125" style="4"/>
    <col min="4867" max="4867" width="12.75" style="4" customWidth="1"/>
    <col min="4868" max="4868" width="32.75" style="4" customWidth="1"/>
    <col min="4869" max="4869" width="52.75" style="4" customWidth="1"/>
    <col min="4870" max="4870" width="4" style="4" customWidth="1"/>
    <col min="4871" max="4871" width="12.75" style="4" customWidth="1"/>
    <col min="4872" max="4872" width="32.75" style="4" customWidth="1"/>
    <col min="4873" max="4873" width="52.75" style="4" customWidth="1"/>
    <col min="4874" max="5122" width="9.125" style="4"/>
    <col min="5123" max="5123" width="12.75" style="4" customWidth="1"/>
    <col min="5124" max="5124" width="32.75" style="4" customWidth="1"/>
    <col min="5125" max="5125" width="52.75" style="4" customWidth="1"/>
    <col min="5126" max="5126" width="4" style="4" customWidth="1"/>
    <col min="5127" max="5127" width="12.75" style="4" customWidth="1"/>
    <col min="5128" max="5128" width="32.75" style="4" customWidth="1"/>
    <col min="5129" max="5129" width="52.75" style="4" customWidth="1"/>
    <col min="5130" max="5378" width="9.125" style="4"/>
    <col min="5379" max="5379" width="12.75" style="4" customWidth="1"/>
    <col min="5380" max="5380" width="32.75" style="4" customWidth="1"/>
    <col min="5381" max="5381" width="52.75" style="4" customWidth="1"/>
    <col min="5382" max="5382" width="4" style="4" customWidth="1"/>
    <col min="5383" max="5383" width="12.75" style="4" customWidth="1"/>
    <col min="5384" max="5384" width="32.75" style="4" customWidth="1"/>
    <col min="5385" max="5385" width="52.75" style="4" customWidth="1"/>
    <col min="5386" max="5634" width="9.125" style="4"/>
    <col min="5635" max="5635" width="12.75" style="4" customWidth="1"/>
    <col min="5636" max="5636" width="32.75" style="4" customWidth="1"/>
    <col min="5637" max="5637" width="52.75" style="4" customWidth="1"/>
    <col min="5638" max="5638" width="4" style="4" customWidth="1"/>
    <col min="5639" max="5639" width="12.75" style="4" customWidth="1"/>
    <col min="5640" max="5640" width="32.75" style="4" customWidth="1"/>
    <col min="5641" max="5641" width="52.75" style="4" customWidth="1"/>
    <col min="5642" max="5890" width="9.125" style="4"/>
    <col min="5891" max="5891" width="12.75" style="4" customWidth="1"/>
    <col min="5892" max="5892" width="32.75" style="4" customWidth="1"/>
    <col min="5893" max="5893" width="52.75" style="4" customWidth="1"/>
    <col min="5894" max="5894" width="4" style="4" customWidth="1"/>
    <col min="5895" max="5895" width="12.75" style="4" customWidth="1"/>
    <col min="5896" max="5896" width="32.75" style="4" customWidth="1"/>
    <col min="5897" max="5897" width="52.75" style="4" customWidth="1"/>
    <col min="5898" max="6146" width="9.125" style="4"/>
    <col min="6147" max="6147" width="12.75" style="4" customWidth="1"/>
    <col min="6148" max="6148" width="32.75" style="4" customWidth="1"/>
    <col min="6149" max="6149" width="52.75" style="4" customWidth="1"/>
    <col min="6150" max="6150" width="4" style="4" customWidth="1"/>
    <col min="6151" max="6151" width="12.75" style="4" customWidth="1"/>
    <col min="6152" max="6152" width="32.75" style="4" customWidth="1"/>
    <col min="6153" max="6153" width="52.75" style="4" customWidth="1"/>
    <col min="6154" max="6402" width="9.125" style="4"/>
    <col min="6403" max="6403" width="12.75" style="4" customWidth="1"/>
    <col min="6404" max="6404" width="32.75" style="4" customWidth="1"/>
    <col min="6405" max="6405" width="52.75" style="4" customWidth="1"/>
    <col min="6406" max="6406" width="4" style="4" customWidth="1"/>
    <col min="6407" max="6407" width="12.75" style="4" customWidth="1"/>
    <col min="6408" max="6408" width="32.75" style="4" customWidth="1"/>
    <col min="6409" max="6409" width="52.75" style="4" customWidth="1"/>
    <col min="6410" max="6658" width="9.125" style="4"/>
    <col min="6659" max="6659" width="12.75" style="4" customWidth="1"/>
    <col min="6660" max="6660" width="32.75" style="4" customWidth="1"/>
    <col min="6661" max="6661" width="52.75" style="4" customWidth="1"/>
    <col min="6662" max="6662" width="4" style="4" customWidth="1"/>
    <col min="6663" max="6663" width="12.75" style="4" customWidth="1"/>
    <col min="6664" max="6664" width="32.75" style="4" customWidth="1"/>
    <col min="6665" max="6665" width="52.75" style="4" customWidth="1"/>
    <col min="6666" max="6914" width="9.125" style="4"/>
    <col min="6915" max="6915" width="12.75" style="4" customWidth="1"/>
    <col min="6916" max="6916" width="32.75" style="4" customWidth="1"/>
    <col min="6917" max="6917" width="52.75" style="4" customWidth="1"/>
    <col min="6918" max="6918" width="4" style="4" customWidth="1"/>
    <col min="6919" max="6919" width="12.75" style="4" customWidth="1"/>
    <col min="6920" max="6920" width="32.75" style="4" customWidth="1"/>
    <col min="6921" max="6921" width="52.75" style="4" customWidth="1"/>
    <col min="6922" max="7170" width="9.125" style="4"/>
    <col min="7171" max="7171" width="12.75" style="4" customWidth="1"/>
    <col min="7172" max="7172" width="32.75" style="4" customWidth="1"/>
    <col min="7173" max="7173" width="52.75" style="4" customWidth="1"/>
    <col min="7174" max="7174" width="4" style="4" customWidth="1"/>
    <col min="7175" max="7175" width="12.75" style="4" customWidth="1"/>
    <col min="7176" max="7176" width="32.75" style="4" customWidth="1"/>
    <col min="7177" max="7177" width="52.75" style="4" customWidth="1"/>
    <col min="7178" max="7426" width="9.125" style="4"/>
    <col min="7427" max="7427" width="12.75" style="4" customWidth="1"/>
    <col min="7428" max="7428" width="32.75" style="4" customWidth="1"/>
    <col min="7429" max="7429" width="52.75" style="4" customWidth="1"/>
    <col min="7430" max="7430" width="4" style="4" customWidth="1"/>
    <col min="7431" max="7431" width="12.75" style="4" customWidth="1"/>
    <col min="7432" max="7432" width="32.75" style="4" customWidth="1"/>
    <col min="7433" max="7433" width="52.75" style="4" customWidth="1"/>
    <col min="7434" max="7682" width="9.125" style="4"/>
    <col min="7683" max="7683" width="12.75" style="4" customWidth="1"/>
    <col min="7684" max="7684" width="32.75" style="4" customWidth="1"/>
    <col min="7685" max="7685" width="52.75" style="4" customWidth="1"/>
    <col min="7686" max="7686" width="4" style="4" customWidth="1"/>
    <col min="7687" max="7687" width="12.75" style="4" customWidth="1"/>
    <col min="7688" max="7688" width="32.75" style="4" customWidth="1"/>
    <col min="7689" max="7689" width="52.75" style="4" customWidth="1"/>
    <col min="7690" max="7938" width="9.125" style="4"/>
    <col min="7939" max="7939" width="12.75" style="4" customWidth="1"/>
    <col min="7940" max="7940" width="32.75" style="4" customWidth="1"/>
    <col min="7941" max="7941" width="52.75" style="4" customWidth="1"/>
    <col min="7942" max="7942" width="4" style="4" customWidth="1"/>
    <col min="7943" max="7943" width="12.75" style="4" customWidth="1"/>
    <col min="7944" max="7944" width="32.75" style="4" customWidth="1"/>
    <col min="7945" max="7945" width="52.75" style="4" customWidth="1"/>
    <col min="7946" max="8194" width="9.125" style="4"/>
    <col min="8195" max="8195" width="12.75" style="4" customWidth="1"/>
    <col min="8196" max="8196" width="32.75" style="4" customWidth="1"/>
    <col min="8197" max="8197" width="52.75" style="4" customWidth="1"/>
    <col min="8198" max="8198" width="4" style="4" customWidth="1"/>
    <col min="8199" max="8199" width="12.75" style="4" customWidth="1"/>
    <col min="8200" max="8200" width="32.75" style="4" customWidth="1"/>
    <col min="8201" max="8201" width="52.75" style="4" customWidth="1"/>
    <col min="8202" max="8450" width="9.125" style="4"/>
    <col min="8451" max="8451" width="12.75" style="4" customWidth="1"/>
    <col min="8452" max="8452" width="32.75" style="4" customWidth="1"/>
    <col min="8453" max="8453" width="52.75" style="4" customWidth="1"/>
    <col min="8454" max="8454" width="4" style="4" customWidth="1"/>
    <col min="8455" max="8455" width="12.75" style="4" customWidth="1"/>
    <col min="8456" max="8456" width="32.75" style="4" customWidth="1"/>
    <col min="8457" max="8457" width="52.75" style="4" customWidth="1"/>
    <col min="8458" max="8706" width="9.125" style="4"/>
    <col min="8707" max="8707" width="12.75" style="4" customWidth="1"/>
    <col min="8708" max="8708" width="32.75" style="4" customWidth="1"/>
    <col min="8709" max="8709" width="52.75" style="4" customWidth="1"/>
    <col min="8710" max="8710" width="4" style="4" customWidth="1"/>
    <col min="8711" max="8711" width="12.75" style="4" customWidth="1"/>
    <col min="8712" max="8712" width="32.75" style="4" customWidth="1"/>
    <col min="8713" max="8713" width="52.75" style="4" customWidth="1"/>
    <col min="8714" max="8962" width="9.125" style="4"/>
    <col min="8963" max="8963" width="12.75" style="4" customWidth="1"/>
    <col min="8964" max="8964" width="32.75" style="4" customWidth="1"/>
    <col min="8965" max="8965" width="52.75" style="4" customWidth="1"/>
    <col min="8966" max="8966" width="4" style="4" customWidth="1"/>
    <col min="8967" max="8967" width="12.75" style="4" customWidth="1"/>
    <col min="8968" max="8968" width="32.75" style="4" customWidth="1"/>
    <col min="8969" max="8969" width="52.75" style="4" customWidth="1"/>
    <col min="8970" max="9218" width="9.125" style="4"/>
    <col min="9219" max="9219" width="12.75" style="4" customWidth="1"/>
    <col min="9220" max="9220" width="32.75" style="4" customWidth="1"/>
    <col min="9221" max="9221" width="52.75" style="4" customWidth="1"/>
    <col min="9222" max="9222" width="4" style="4" customWidth="1"/>
    <col min="9223" max="9223" width="12.75" style="4" customWidth="1"/>
    <col min="9224" max="9224" width="32.75" style="4" customWidth="1"/>
    <col min="9225" max="9225" width="52.75" style="4" customWidth="1"/>
    <col min="9226" max="9474" width="9.125" style="4"/>
    <col min="9475" max="9475" width="12.75" style="4" customWidth="1"/>
    <col min="9476" max="9476" width="32.75" style="4" customWidth="1"/>
    <col min="9477" max="9477" width="52.75" style="4" customWidth="1"/>
    <col min="9478" max="9478" width="4" style="4" customWidth="1"/>
    <col min="9479" max="9479" width="12.75" style="4" customWidth="1"/>
    <col min="9480" max="9480" width="32.75" style="4" customWidth="1"/>
    <col min="9481" max="9481" width="52.75" style="4" customWidth="1"/>
    <col min="9482" max="9730" width="9.125" style="4"/>
    <col min="9731" max="9731" width="12.75" style="4" customWidth="1"/>
    <col min="9732" max="9732" width="32.75" style="4" customWidth="1"/>
    <col min="9733" max="9733" width="52.75" style="4" customWidth="1"/>
    <col min="9734" max="9734" width="4" style="4" customWidth="1"/>
    <col min="9735" max="9735" width="12.75" style="4" customWidth="1"/>
    <col min="9736" max="9736" width="32.75" style="4" customWidth="1"/>
    <col min="9737" max="9737" width="52.75" style="4" customWidth="1"/>
    <col min="9738" max="9986" width="9.125" style="4"/>
    <col min="9987" max="9987" width="12.75" style="4" customWidth="1"/>
    <col min="9988" max="9988" width="32.75" style="4" customWidth="1"/>
    <col min="9989" max="9989" width="52.75" style="4" customWidth="1"/>
    <col min="9990" max="9990" width="4" style="4" customWidth="1"/>
    <col min="9991" max="9991" width="12.75" style="4" customWidth="1"/>
    <col min="9992" max="9992" width="32.75" style="4" customWidth="1"/>
    <col min="9993" max="9993" width="52.75" style="4" customWidth="1"/>
    <col min="9994" max="10242" width="9.125" style="4"/>
    <col min="10243" max="10243" width="12.75" style="4" customWidth="1"/>
    <col min="10244" max="10244" width="32.75" style="4" customWidth="1"/>
    <col min="10245" max="10245" width="52.75" style="4" customWidth="1"/>
    <col min="10246" max="10246" width="4" style="4" customWidth="1"/>
    <col min="10247" max="10247" width="12.75" style="4" customWidth="1"/>
    <col min="10248" max="10248" width="32.75" style="4" customWidth="1"/>
    <col min="10249" max="10249" width="52.75" style="4" customWidth="1"/>
    <col min="10250" max="10498" width="9.125" style="4"/>
    <col min="10499" max="10499" width="12.75" style="4" customWidth="1"/>
    <col min="10500" max="10500" width="32.75" style="4" customWidth="1"/>
    <col min="10501" max="10501" width="52.75" style="4" customWidth="1"/>
    <col min="10502" max="10502" width="4" style="4" customWidth="1"/>
    <col min="10503" max="10503" width="12.75" style="4" customWidth="1"/>
    <col min="10504" max="10504" width="32.75" style="4" customWidth="1"/>
    <col min="10505" max="10505" width="52.75" style="4" customWidth="1"/>
    <col min="10506" max="10754" width="9.125" style="4"/>
    <col min="10755" max="10755" width="12.75" style="4" customWidth="1"/>
    <col min="10756" max="10756" width="32.75" style="4" customWidth="1"/>
    <col min="10757" max="10757" width="52.75" style="4" customWidth="1"/>
    <col min="10758" max="10758" width="4" style="4" customWidth="1"/>
    <col min="10759" max="10759" width="12.75" style="4" customWidth="1"/>
    <col min="10760" max="10760" width="32.75" style="4" customWidth="1"/>
    <col min="10761" max="10761" width="52.75" style="4" customWidth="1"/>
    <col min="10762" max="11010" width="9.125" style="4"/>
    <col min="11011" max="11011" width="12.75" style="4" customWidth="1"/>
    <col min="11012" max="11012" width="32.75" style="4" customWidth="1"/>
    <col min="11013" max="11013" width="52.75" style="4" customWidth="1"/>
    <col min="11014" max="11014" width="4" style="4" customWidth="1"/>
    <col min="11015" max="11015" width="12.75" style="4" customWidth="1"/>
    <col min="11016" max="11016" width="32.75" style="4" customWidth="1"/>
    <col min="11017" max="11017" width="52.75" style="4" customWidth="1"/>
    <col min="11018" max="11266" width="9.125" style="4"/>
    <col min="11267" max="11267" width="12.75" style="4" customWidth="1"/>
    <col min="11268" max="11268" width="32.75" style="4" customWidth="1"/>
    <col min="11269" max="11269" width="52.75" style="4" customWidth="1"/>
    <col min="11270" max="11270" width="4" style="4" customWidth="1"/>
    <col min="11271" max="11271" width="12.75" style="4" customWidth="1"/>
    <col min="11272" max="11272" width="32.75" style="4" customWidth="1"/>
    <col min="11273" max="11273" width="52.75" style="4" customWidth="1"/>
    <col min="11274" max="11522" width="9.125" style="4"/>
    <col min="11523" max="11523" width="12.75" style="4" customWidth="1"/>
    <col min="11524" max="11524" width="32.75" style="4" customWidth="1"/>
    <col min="11525" max="11525" width="52.75" style="4" customWidth="1"/>
    <col min="11526" max="11526" width="4" style="4" customWidth="1"/>
    <col min="11527" max="11527" width="12.75" style="4" customWidth="1"/>
    <col min="11528" max="11528" width="32.75" style="4" customWidth="1"/>
    <col min="11529" max="11529" width="52.75" style="4" customWidth="1"/>
    <col min="11530" max="11778" width="9.125" style="4"/>
    <col min="11779" max="11779" width="12.75" style="4" customWidth="1"/>
    <col min="11780" max="11780" width="32.75" style="4" customWidth="1"/>
    <col min="11781" max="11781" width="52.75" style="4" customWidth="1"/>
    <col min="11782" max="11782" width="4" style="4" customWidth="1"/>
    <col min="11783" max="11783" width="12.75" style="4" customWidth="1"/>
    <col min="11784" max="11784" width="32.75" style="4" customWidth="1"/>
    <col min="11785" max="11785" width="52.75" style="4" customWidth="1"/>
    <col min="11786" max="12034" width="9.125" style="4"/>
    <col min="12035" max="12035" width="12.75" style="4" customWidth="1"/>
    <col min="12036" max="12036" width="32.75" style="4" customWidth="1"/>
    <col min="12037" max="12037" width="52.75" style="4" customWidth="1"/>
    <col min="12038" max="12038" width="4" style="4" customWidth="1"/>
    <col min="12039" max="12039" width="12.75" style="4" customWidth="1"/>
    <col min="12040" max="12040" width="32.75" style="4" customWidth="1"/>
    <col min="12041" max="12041" width="52.75" style="4" customWidth="1"/>
    <col min="12042" max="12290" width="9.125" style="4"/>
    <col min="12291" max="12291" width="12.75" style="4" customWidth="1"/>
    <col min="12292" max="12292" width="32.75" style="4" customWidth="1"/>
    <col min="12293" max="12293" width="52.75" style="4" customWidth="1"/>
    <col min="12294" max="12294" width="4" style="4" customWidth="1"/>
    <col min="12295" max="12295" width="12.75" style="4" customWidth="1"/>
    <col min="12296" max="12296" width="32.75" style="4" customWidth="1"/>
    <col min="12297" max="12297" width="52.75" style="4" customWidth="1"/>
    <col min="12298" max="12546" width="9.125" style="4"/>
    <col min="12547" max="12547" width="12.75" style="4" customWidth="1"/>
    <col min="12548" max="12548" width="32.75" style="4" customWidth="1"/>
    <col min="12549" max="12549" width="52.75" style="4" customWidth="1"/>
    <col min="12550" max="12550" width="4" style="4" customWidth="1"/>
    <col min="12551" max="12551" width="12.75" style="4" customWidth="1"/>
    <col min="12552" max="12552" width="32.75" style="4" customWidth="1"/>
    <col min="12553" max="12553" width="52.75" style="4" customWidth="1"/>
    <col min="12554" max="12802" width="9.125" style="4"/>
    <col min="12803" max="12803" width="12.75" style="4" customWidth="1"/>
    <col min="12804" max="12804" width="32.75" style="4" customWidth="1"/>
    <col min="12805" max="12805" width="52.75" style="4" customWidth="1"/>
    <col min="12806" max="12806" width="4" style="4" customWidth="1"/>
    <col min="12807" max="12807" width="12.75" style="4" customWidth="1"/>
    <col min="12808" max="12808" width="32.75" style="4" customWidth="1"/>
    <col min="12809" max="12809" width="52.75" style="4" customWidth="1"/>
    <col min="12810" max="13058" width="9.125" style="4"/>
    <col min="13059" max="13059" width="12.75" style="4" customWidth="1"/>
    <col min="13060" max="13060" width="32.75" style="4" customWidth="1"/>
    <col min="13061" max="13061" width="52.75" style="4" customWidth="1"/>
    <col min="13062" max="13062" width="4" style="4" customWidth="1"/>
    <col min="13063" max="13063" width="12.75" style="4" customWidth="1"/>
    <col min="13064" max="13064" width="32.75" style="4" customWidth="1"/>
    <col min="13065" max="13065" width="52.75" style="4" customWidth="1"/>
    <col min="13066" max="13314" width="9.125" style="4"/>
    <col min="13315" max="13315" width="12.75" style="4" customWidth="1"/>
    <col min="13316" max="13316" width="32.75" style="4" customWidth="1"/>
    <col min="13317" max="13317" width="52.75" style="4" customWidth="1"/>
    <col min="13318" max="13318" width="4" style="4" customWidth="1"/>
    <col min="13319" max="13319" width="12.75" style="4" customWidth="1"/>
    <col min="13320" max="13320" width="32.75" style="4" customWidth="1"/>
    <col min="13321" max="13321" width="52.75" style="4" customWidth="1"/>
    <col min="13322" max="13570" width="9.125" style="4"/>
    <col min="13571" max="13571" width="12.75" style="4" customWidth="1"/>
    <col min="13572" max="13572" width="32.75" style="4" customWidth="1"/>
    <col min="13573" max="13573" width="52.75" style="4" customWidth="1"/>
    <col min="13574" max="13574" width="4" style="4" customWidth="1"/>
    <col min="13575" max="13575" width="12.75" style="4" customWidth="1"/>
    <col min="13576" max="13576" width="32.75" style="4" customWidth="1"/>
    <col min="13577" max="13577" width="52.75" style="4" customWidth="1"/>
    <col min="13578" max="13826" width="9.125" style="4"/>
    <col min="13827" max="13827" width="12.75" style="4" customWidth="1"/>
    <col min="13828" max="13828" width="32.75" style="4" customWidth="1"/>
    <col min="13829" max="13829" width="52.75" style="4" customWidth="1"/>
    <col min="13830" max="13830" width="4" style="4" customWidth="1"/>
    <col min="13831" max="13831" width="12.75" style="4" customWidth="1"/>
    <col min="13832" max="13832" width="32.75" style="4" customWidth="1"/>
    <col min="13833" max="13833" width="52.75" style="4" customWidth="1"/>
    <col min="13834" max="14082" width="9.125" style="4"/>
    <col min="14083" max="14083" width="12.75" style="4" customWidth="1"/>
    <col min="14084" max="14084" width="32.75" style="4" customWidth="1"/>
    <col min="14085" max="14085" width="52.75" style="4" customWidth="1"/>
    <col min="14086" max="14086" width="4" style="4" customWidth="1"/>
    <col min="14087" max="14087" width="12.75" style="4" customWidth="1"/>
    <col min="14088" max="14088" width="32.75" style="4" customWidth="1"/>
    <col min="14089" max="14089" width="52.75" style="4" customWidth="1"/>
    <col min="14090" max="14338" width="9.125" style="4"/>
    <col min="14339" max="14339" width="12.75" style="4" customWidth="1"/>
    <col min="14340" max="14340" width="32.75" style="4" customWidth="1"/>
    <col min="14341" max="14341" width="52.75" style="4" customWidth="1"/>
    <col min="14342" max="14342" width="4" style="4" customWidth="1"/>
    <col min="14343" max="14343" width="12.75" style="4" customWidth="1"/>
    <col min="14344" max="14344" width="32.75" style="4" customWidth="1"/>
    <col min="14345" max="14345" width="52.75" style="4" customWidth="1"/>
    <col min="14346" max="14594" width="9.125" style="4"/>
    <col min="14595" max="14595" width="12.75" style="4" customWidth="1"/>
    <col min="14596" max="14596" width="32.75" style="4" customWidth="1"/>
    <col min="14597" max="14597" width="52.75" style="4" customWidth="1"/>
    <col min="14598" max="14598" width="4" style="4" customWidth="1"/>
    <col min="14599" max="14599" width="12.75" style="4" customWidth="1"/>
    <col min="14600" max="14600" width="32.75" style="4" customWidth="1"/>
    <col min="14601" max="14601" width="52.75" style="4" customWidth="1"/>
    <col min="14602" max="14850" width="9.125" style="4"/>
    <col min="14851" max="14851" width="12.75" style="4" customWidth="1"/>
    <col min="14852" max="14852" width="32.75" style="4" customWidth="1"/>
    <col min="14853" max="14853" width="52.75" style="4" customWidth="1"/>
    <col min="14854" max="14854" width="4" style="4" customWidth="1"/>
    <col min="14855" max="14855" width="12.75" style="4" customWidth="1"/>
    <col min="14856" max="14856" width="32.75" style="4" customWidth="1"/>
    <col min="14857" max="14857" width="52.75" style="4" customWidth="1"/>
    <col min="14858" max="15106" width="9.125" style="4"/>
    <col min="15107" max="15107" width="12.75" style="4" customWidth="1"/>
    <col min="15108" max="15108" width="32.75" style="4" customWidth="1"/>
    <col min="15109" max="15109" width="52.75" style="4" customWidth="1"/>
    <col min="15110" max="15110" width="4" style="4" customWidth="1"/>
    <col min="15111" max="15111" width="12.75" style="4" customWidth="1"/>
    <col min="15112" max="15112" width="32.75" style="4" customWidth="1"/>
    <col min="15113" max="15113" width="52.75" style="4" customWidth="1"/>
    <col min="15114" max="15362" width="9.125" style="4"/>
    <col min="15363" max="15363" width="12.75" style="4" customWidth="1"/>
    <col min="15364" max="15364" width="32.75" style="4" customWidth="1"/>
    <col min="15365" max="15365" width="52.75" style="4" customWidth="1"/>
    <col min="15366" max="15366" width="4" style="4" customWidth="1"/>
    <col min="15367" max="15367" width="12.75" style="4" customWidth="1"/>
    <col min="15368" max="15368" width="32.75" style="4" customWidth="1"/>
    <col min="15369" max="15369" width="52.75" style="4" customWidth="1"/>
    <col min="15370" max="15618" width="9.125" style="4"/>
    <col min="15619" max="15619" width="12.75" style="4" customWidth="1"/>
    <col min="15620" max="15620" width="32.75" style="4" customWidth="1"/>
    <col min="15621" max="15621" width="52.75" style="4" customWidth="1"/>
    <col min="15622" max="15622" width="4" style="4" customWidth="1"/>
    <col min="15623" max="15623" width="12.75" style="4" customWidth="1"/>
    <col min="15624" max="15624" width="32.75" style="4" customWidth="1"/>
    <col min="15625" max="15625" width="52.75" style="4" customWidth="1"/>
    <col min="15626" max="15874" width="9.125" style="4"/>
    <col min="15875" max="15875" width="12.75" style="4" customWidth="1"/>
    <col min="15876" max="15876" width="32.75" style="4" customWidth="1"/>
    <col min="15877" max="15877" width="52.75" style="4" customWidth="1"/>
    <col min="15878" max="15878" width="4" style="4" customWidth="1"/>
    <col min="15879" max="15879" width="12.75" style="4" customWidth="1"/>
    <col min="15880" max="15880" width="32.75" style="4" customWidth="1"/>
    <col min="15881" max="15881" width="52.75" style="4" customWidth="1"/>
    <col min="15882" max="16130" width="9.125" style="4"/>
    <col min="16131" max="16131" width="12.75" style="4" customWidth="1"/>
    <col min="16132" max="16132" width="32.75" style="4" customWidth="1"/>
    <col min="16133" max="16133" width="52.75" style="4" customWidth="1"/>
    <col min="16134" max="16134" width="4" style="4" customWidth="1"/>
    <col min="16135" max="16135" width="12.75" style="4" customWidth="1"/>
    <col min="16136" max="16136" width="32.75" style="4" customWidth="1"/>
    <col min="16137" max="16137" width="52.75" style="4" customWidth="1"/>
    <col min="16138" max="16384" width="9.125" style="4"/>
  </cols>
  <sheetData>
    <row r="3" spans="2:5" ht="12.25" thickBot="1" x14ac:dyDescent="0.25">
      <c r="B3" s="2" t="s">
        <v>72</v>
      </c>
      <c r="C3" s="3"/>
      <c r="D3" s="33"/>
      <c r="E3" s="3"/>
    </row>
    <row r="4" spans="2:5" x14ac:dyDescent="0.2">
      <c r="B4" s="5" t="s">
        <v>73</v>
      </c>
      <c r="C4" s="6" t="s">
        <v>74</v>
      </c>
      <c r="D4" s="35"/>
      <c r="E4" s="7" t="s">
        <v>75</v>
      </c>
    </row>
    <row r="5" spans="2:5" x14ac:dyDescent="0.2">
      <c r="B5" s="8"/>
      <c r="C5" s="4" t="s">
        <v>76</v>
      </c>
      <c r="E5" s="9" t="s">
        <v>77</v>
      </c>
    </row>
    <row r="6" spans="2:5" ht="12.25" thickBot="1" x14ac:dyDescent="0.25">
      <c r="B6" s="10"/>
      <c r="C6" s="11" t="s">
        <v>78</v>
      </c>
      <c r="D6" s="34"/>
      <c r="E6" s="12"/>
    </row>
    <row r="7" spans="2:5" x14ac:dyDescent="0.2">
      <c r="B7" s="5" t="s">
        <v>79</v>
      </c>
      <c r="C7" s="6" t="s">
        <v>80</v>
      </c>
      <c r="D7" s="35"/>
      <c r="E7" s="7" t="s">
        <v>81</v>
      </c>
    </row>
    <row r="8" spans="2:5" x14ac:dyDescent="0.2">
      <c r="B8" s="8"/>
      <c r="C8" s="4" t="s">
        <v>82</v>
      </c>
      <c r="E8" s="9" t="s">
        <v>83</v>
      </c>
    </row>
    <row r="9" spans="2:5" x14ac:dyDescent="0.2">
      <c r="B9" s="8"/>
      <c r="C9" s="4" t="s">
        <v>84</v>
      </c>
      <c r="E9" s="9" t="s">
        <v>85</v>
      </c>
    </row>
    <row r="10" spans="2:5" x14ac:dyDescent="0.2">
      <c r="B10" s="8"/>
      <c r="C10" s="4" t="s">
        <v>86</v>
      </c>
      <c r="E10" s="9"/>
    </row>
    <row r="11" spans="2:5" ht="12.25" thickBot="1" x14ac:dyDescent="0.25">
      <c r="B11" s="10"/>
      <c r="C11" s="11" t="s">
        <v>87</v>
      </c>
      <c r="D11" s="34"/>
      <c r="E11" s="12"/>
    </row>
    <row r="12" spans="2:5" x14ac:dyDescent="0.2">
      <c r="B12" s="5" t="s">
        <v>88</v>
      </c>
      <c r="C12" s="6" t="s">
        <v>531</v>
      </c>
      <c r="D12" s="35">
        <v>50</v>
      </c>
      <c r="E12" s="7" t="s">
        <v>19</v>
      </c>
    </row>
    <row r="13" spans="2:5" x14ac:dyDescent="0.2">
      <c r="B13" s="8"/>
      <c r="C13" s="4" t="s">
        <v>527</v>
      </c>
      <c r="D13" s="22">
        <v>50</v>
      </c>
      <c r="E13" s="9"/>
    </row>
    <row r="14" spans="2:5" x14ac:dyDescent="0.2">
      <c r="B14" s="8"/>
      <c r="C14" s="4" t="s">
        <v>532</v>
      </c>
      <c r="D14" s="22">
        <v>50</v>
      </c>
      <c r="E14" s="9"/>
    </row>
    <row r="15" spans="2:5" x14ac:dyDescent="0.2">
      <c r="B15" s="8"/>
      <c r="C15" s="4" t="s">
        <v>528</v>
      </c>
      <c r="D15" s="22">
        <v>50</v>
      </c>
      <c r="E15" s="9"/>
    </row>
    <row r="16" spans="2:5" x14ac:dyDescent="0.2">
      <c r="B16" s="8"/>
      <c r="C16" s="4" t="s">
        <v>529</v>
      </c>
      <c r="D16" s="22">
        <v>50</v>
      </c>
      <c r="E16" s="9"/>
    </row>
    <row r="17" spans="2:5" x14ac:dyDescent="0.2">
      <c r="B17" s="8"/>
      <c r="C17" s="4" t="s">
        <v>135</v>
      </c>
      <c r="D17" s="22">
        <v>50</v>
      </c>
      <c r="E17" s="9"/>
    </row>
    <row r="18" spans="2:5" x14ac:dyDescent="0.2">
      <c r="B18" s="8"/>
      <c r="C18" s="4" t="s">
        <v>530</v>
      </c>
      <c r="D18" s="22">
        <v>50</v>
      </c>
      <c r="E18" s="9"/>
    </row>
    <row r="19" spans="2:5" x14ac:dyDescent="0.2">
      <c r="B19" s="8"/>
      <c r="C19" s="4" t="s">
        <v>533</v>
      </c>
      <c r="D19" s="22">
        <v>50</v>
      </c>
      <c r="E19" s="9"/>
    </row>
    <row r="20" spans="2:5" x14ac:dyDescent="0.2">
      <c r="B20" s="8"/>
      <c r="C20" s="4" t="s">
        <v>146</v>
      </c>
      <c r="D20" s="22">
        <v>50</v>
      </c>
      <c r="E20" s="9"/>
    </row>
    <row r="21" spans="2:5" ht="12.25" thickBot="1" x14ac:dyDescent="0.25">
      <c r="B21" s="10"/>
      <c r="C21" s="11" t="s">
        <v>158</v>
      </c>
      <c r="D21" s="34">
        <v>50</v>
      </c>
      <c r="E21" s="12"/>
    </row>
    <row r="22" spans="2:5" x14ac:dyDescent="0.2">
      <c r="B22" s="5" t="s">
        <v>91</v>
      </c>
      <c r="C22" s="6" t="s">
        <v>525</v>
      </c>
      <c r="D22" s="35">
        <v>50</v>
      </c>
      <c r="E22" s="7" t="s">
        <v>21</v>
      </c>
    </row>
    <row r="23" spans="2:5" x14ac:dyDescent="0.2">
      <c r="B23" s="8"/>
      <c r="C23" s="4" t="s">
        <v>534</v>
      </c>
      <c r="D23" s="22">
        <v>7</v>
      </c>
      <c r="E23" s="9"/>
    </row>
    <row r="24" spans="2:5" ht="12.25" thickBot="1" x14ac:dyDescent="0.25">
      <c r="B24" s="10"/>
      <c r="C24" s="11" t="s">
        <v>535</v>
      </c>
      <c r="D24" s="34">
        <v>10</v>
      </c>
      <c r="E24" s="12"/>
    </row>
    <row r="25" spans="2:5" x14ac:dyDescent="0.2">
      <c r="D25" s="4"/>
    </row>
    <row r="26" spans="2:5" x14ac:dyDescent="0.2">
      <c r="D26" s="4"/>
    </row>
    <row r="27" spans="2:5" x14ac:dyDescent="0.2">
      <c r="D27" s="4"/>
    </row>
    <row r="28" spans="2:5" x14ac:dyDescent="0.2">
      <c r="D28" s="4"/>
    </row>
    <row r="29" spans="2:5" x14ac:dyDescent="0.2">
      <c r="D29" s="4"/>
    </row>
    <row r="30" spans="2:5" x14ac:dyDescent="0.2">
      <c r="D30" s="4"/>
    </row>
    <row r="31" spans="2:5" x14ac:dyDescent="0.2">
      <c r="D31" s="4"/>
    </row>
    <row r="32" spans="2:5" x14ac:dyDescent="0.2">
      <c r="D32" s="4"/>
    </row>
    <row r="33" spans="4:11" x14ac:dyDescent="0.2">
      <c r="D33" s="4"/>
    </row>
    <row r="34" spans="4:11" x14ac:dyDescent="0.2">
      <c r="D34" s="4"/>
    </row>
    <row r="35" spans="4:11" x14ac:dyDescent="0.2">
      <c r="D35" s="4"/>
    </row>
    <row r="36" spans="4:11" x14ac:dyDescent="0.2">
      <c r="D36" s="4"/>
    </row>
    <row r="37" spans="4:11" x14ac:dyDescent="0.2">
      <c r="D37" s="4"/>
    </row>
    <row r="38" spans="4:11" x14ac:dyDescent="0.2">
      <c r="D38" s="4"/>
    </row>
    <row r="39" spans="4:11" x14ac:dyDescent="0.2">
      <c r="D39" s="4"/>
    </row>
    <row r="40" spans="4:11" x14ac:dyDescent="0.2">
      <c r="D40" s="4"/>
    </row>
    <row r="41" spans="4:11" x14ac:dyDescent="0.2">
      <c r="D41" s="4"/>
    </row>
    <row r="42" spans="4:11" x14ac:dyDescent="0.2">
      <c r="D42" s="4"/>
    </row>
    <row r="43" spans="4:11" x14ac:dyDescent="0.2">
      <c r="D43" s="4"/>
    </row>
    <row r="44" spans="4:11" x14ac:dyDescent="0.2">
      <c r="D44" s="4"/>
      <c r="K44" s="23"/>
    </row>
    <row r="45" spans="4:11" x14ac:dyDescent="0.2">
      <c r="D45" s="4"/>
      <c r="K45" s="23"/>
    </row>
    <row r="46" spans="4:11" x14ac:dyDescent="0.2">
      <c r="D46" s="4"/>
      <c r="K46" s="23"/>
    </row>
    <row r="47" spans="4:11" x14ac:dyDescent="0.2">
      <c r="D47" s="4"/>
      <c r="K47" s="23"/>
    </row>
    <row r="48" spans="4:11" x14ac:dyDescent="0.2">
      <c r="D48" s="4"/>
      <c r="K48" s="23"/>
    </row>
    <row r="49" spans="4:11" x14ac:dyDescent="0.2">
      <c r="D49" s="4"/>
      <c r="K49" s="23"/>
    </row>
    <row r="50" spans="4:11" x14ac:dyDescent="0.2">
      <c r="D50" s="4"/>
    </row>
    <row r="51" spans="4:11" x14ac:dyDescent="0.2">
      <c r="D51" s="4"/>
    </row>
    <row r="52" spans="4:11" x14ac:dyDescent="0.2">
      <c r="D52" s="4"/>
    </row>
    <row r="53" spans="4:11" x14ac:dyDescent="0.2">
      <c r="D53" s="4"/>
    </row>
    <row r="54" spans="4:11" x14ac:dyDescent="0.2">
      <c r="D54" s="4"/>
    </row>
    <row r="55" spans="4:11" x14ac:dyDescent="0.2">
      <c r="D55" s="4"/>
    </row>
    <row r="56" spans="4:11" x14ac:dyDescent="0.2">
      <c r="D56" s="4"/>
    </row>
    <row r="57" spans="4:11" x14ac:dyDescent="0.2">
      <c r="D57" s="4"/>
    </row>
    <row r="58" spans="4:11" x14ac:dyDescent="0.2">
      <c r="D58" s="4"/>
    </row>
    <row r="59" spans="4:11" x14ac:dyDescent="0.2">
      <c r="D59" s="4"/>
    </row>
    <row r="60" spans="4:11" x14ac:dyDescent="0.2">
      <c r="D60" s="4"/>
    </row>
    <row r="61" spans="4:11" x14ac:dyDescent="0.2">
      <c r="D61" s="4"/>
    </row>
    <row r="62" spans="4:11" x14ac:dyDescent="0.2">
      <c r="D62" s="4"/>
    </row>
    <row r="63" spans="4:11" x14ac:dyDescent="0.2">
      <c r="D63" s="4"/>
    </row>
    <row r="64" spans="4:11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  <row r="77" spans="4:4" x14ac:dyDescent="0.2">
      <c r="D77" s="4"/>
    </row>
    <row r="78" spans="4:4" x14ac:dyDescent="0.2">
      <c r="D78" s="4"/>
    </row>
    <row r="79" spans="4:4" x14ac:dyDescent="0.2">
      <c r="D79" s="4"/>
    </row>
    <row r="80" spans="4:4" x14ac:dyDescent="0.2">
      <c r="D80" s="4"/>
    </row>
    <row r="81" spans="4:4" x14ac:dyDescent="0.2">
      <c r="D81" s="4"/>
    </row>
    <row r="82" spans="4:4" x14ac:dyDescent="0.2">
      <c r="D82" s="4"/>
    </row>
    <row r="83" spans="4:4" x14ac:dyDescent="0.2">
      <c r="D83" s="4"/>
    </row>
    <row r="84" spans="4:4" x14ac:dyDescent="0.2">
      <c r="D84" s="4"/>
    </row>
    <row r="85" spans="4:4" x14ac:dyDescent="0.2">
      <c r="D85" s="4"/>
    </row>
    <row r="86" spans="4:4" x14ac:dyDescent="0.2">
      <c r="D86" s="4"/>
    </row>
    <row r="87" spans="4:4" x14ac:dyDescent="0.2">
      <c r="D87" s="4"/>
    </row>
    <row r="88" spans="4:4" x14ac:dyDescent="0.2">
      <c r="D88" s="4"/>
    </row>
    <row r="89" spans="4:4" x14ac:dyDescent="0.2">
      <c r="D89" s="4"/>
    </row>
    <row r="90" spans="4:4" x14ac:dyDescent="0.2">
      <c r="D90" s="4"/>
    </row>
    <row r="91" spans="4:4" x14ac:dyDescent="0.2">
      <c r="D91" s="4"/>
    </row>
    <row r="92" spans="4:4" x14ac:dyDescent="0.2">
      <c r="D92" s="4"/>
    </row>
    <row r="93" spans="4:4" x14ac:dyDescent="0.2">
      <c r="D93" s="4"/>
    </row>
    <row r="94" spans="4:4" x14ac:dyDescent="0.2">
      <c r="D94" s="4"/>
    </row>
    <row r="95" spans="4:4" x14ac:dyDescent="0.2">
      <c r="D95" s="4"/>
    </row>
    <row r="96" spans="4:4" x14ac:dyDescent="0.2">
      <c r="D96" s="4"/>
    </row>
    <row r="97" spans="4:4" x14ac:dyDescent="0.2">
      <c r="D97" s="4"/>
    </row>
    <row r="98" spans="4:4" x14ac:dyDescent="0.2">
      <c r="D98" s="4"/>
    </row>
    <row r="99" spans="4:4" x14ac:dyDescent="0.2">
      <c r="D99" s="4"/>
    </row>
    <row r="100" spans="4:4" x14ac:dyDescent="0.2">
      <c r="D100" s="4"/>
    </row>
    <row r="101" spans="4:4" x14ac:dyDescent="0.2">
      <c r="D101" s="4"/>
    </row>
    <row r="102" spans="4:4" x14ac:dyDescent="0.2">
      <c r="D102" s="4"/>
    </row>
    <row r="103" spans="4:4" x14ac:dyDescent="0.2">
      <c r="D103" s="4"/>
    </row>
    <row r="104" spans="4:4" x14ac:dyDescent="0.2">
      <c r="D104" s="4"/>
    </row>
    <row r="105" spans="4:4" x14ac:dyDescent="0.2">
      <c r="D105" s="4"/>
    </row>
    <row r="106" spans="4:4" x14ac:dyDescent="0.2">
      <c r="D106" s="4"/>
    </row>
    <row r="107" spans="4:4" x14ac:dyDescent="0.2">
      <c r="D107" s="4"/>
    </row>
    <row r="108" spans="4:4" x14ac:dyDescent="0.2">
      <c r="D108" s="4"/>
    </row>
    <row r="109" spans="4:4" x14ac:dyDescent="0.2">
      <c r="D109" s="4"/>
    </row>
    <row r="110" spans="4:4" x14ac:dyDescent="0.2">
      <c r="D110" s="4"/>
    </row>
    <row r="111" spans="4:4" x14ac:dyDescent="0.2">
      <c r="D111" s="4"/>
    </row>
    <row r="112" spans="4:4" x14ac:dyDescent="0.2">
      <c r="D112" s="4"/>
    </row>
    <row r="113" spans="4:4" x14ac:dyDescent="0.2">
      <c r="D113" s="4"/>
    </row>
    <row r="114" spans="4:4" x14ac:dyDescent="0.2">
      <c r="D114" s="4"/>
    </row>
    <row r="115" spans="4:4" x14ac:dyDescent="0.2">
      <c r="D115" s="4"/>
    </row>
    <row r="116" spans="4:4" x14ac:dyDescent="0.2">
      <c r="D116" s="4"/>
    </row>
    <row r="117" spans="4:4" x14ac:dyDescent="0.2">
      <c r="D117" s="4"/>
    </row>
    <row r="118" spans="4:4" x14ac:dyDescent="0.2">
      <c r="D118" s="4"/>
    </row>
    <row r="119" spans="4:4" x14ac:dyDescent="0.2">
      <c r="D119" s="4"/>
    </row>
    <row r="120" spans="4:4" x14ac:dyDescent="0.2">
      <c r="D120" s="4"/>
    </row>
    <row r="121" spans="4:4" x14ac:dyDescent="0.2">
      <c r="D121" s="4"/>
    </row>
    <row r="122" spans="4:4" x14ac:dyDescent="0.2">
      <c r="D122" s="4"/>
    </row>
    <row r="123" spans="4:4" x14ac:dyDescent="0.2">
      <c r="D123" s="4"/>
    </row>
    <row r="124" spans="4:4" x14ac:dyDescent="0.2">
      <c r="D124" s="4"/>
    </row>
    <row r="125" spans="4:4" x14ac:dyDescent="0.2">
      <c r="D125" s="4"/>
    </row>
    <row r="126" spans="4:4" x14ac:dyDescent="0.2">
      <c r="D126" s="4"/>
    </row>
    <row r="127" spans="4:4" x14ac:dyDescent="0.2">
      <c r="D127" s="4"/>
    </row>
    <row r="128" spans="4:4" x14ac:dyDescent="0.2">
      <c r="D128" s="4"/>
    </row>
    <row r="129" spans="4:4" x14ac:dyDescent="0.2">
      <c r="D129" s="4"/>
    </row>
    <row r="130" spans="4:4" x14ac:dyDescent="0.2">
      <c r="D130" s="4"/>
    </row>
    <row r="131" spans="4:4" x14ac:dyDescent="0.2">
      <c r="D131" s="4"/>
    </row>
    <row r="132" spans="4:4" x14ac:dyDescent="0.2">
      <c r="D132" s="4"/>
    </row>
    <row r="133" spans="4:4" x14ac:dyDescent="0.2">
      <c r="D133" s="4"/>
    </row>
    <row r="134" spans="4:4" x14ac:dyDescent="0.2">
      <c r="D134" s="4"/>
    </row>
    <row r="135" spans="4:4" x14ac:dyDescent="0.2">
      <c r="D135" s="4"/>
    </row>
    <row r="136" spans="4:4" x14ac:dyDescent="0.2">
      <c r="D136" s="4"/>
    </row>
    <row r="137" spans="4:4" x14ac:dyDescent="0.2">
      <c r="D137" s="4"/>
    </row>
    <row r="138" spans="4:4" x14ac:dyDescent="0.2">
      <c r="D138" s="4"/>
    </row>
    <row r="139" spans="4:4" x14ac:dyDescent="0.2">
      <c r="D139" s="4"/>
    </row>
    <row r="140" spans="4:4" x14ac:dyDescent="0.2">
      <c r="D140" s="4"/>
    </row>
    <row r="141" spans="4:4" x14ac:dyDescent="0.2">
      <c r="D141" s="4"/>
    </row>
    <row r="142" spans="4:4" x14ac:dyDescent="0.2">
      <c r="D142" s="4"/>
    </row>
    <row r="143" spans="4:4" x14ac:dyDescent="0.2">
      <c r="D143" s="4"/>
    </row>
    <row r="144" spans="4:4" x14ac:dyDescent="0.2">
      <c r="D144" s="4"/>
    </row>
    <row r="145" spans="4:4" x14ac:dyDescent="0.2">
      <c r="D145" s="4"/>
    </row>
    <row r="146" spans="4:4" x14ac:dyDescent="0.2">
      <c r="D146" s="4"/>
    </row>
    <row r="147" spans="4:4" x14ac:dyDescent="0.2">
      <c r="D147" s="4"/>
    </row>
    <row r="148" spans="4:4" x14ac:dyDescent="0.2">
      <c r="D148" s="4"/>
    </row>
    <row r="149" spans="4:4" x14ac:dyDescent="0.2">
      <c r="D149" s="4"/>
    </row>
    <row r="150" spans="4:4" x14ac:dyDescent="0.2">
      <c r="D150" s="4"/>
    </row>
    <row r="151" spans="4:4" x14ac:dyDescent="0.2">
      <c r="D151" s="4"/>
    </row>
    <row r="152" spans="4:4" x14ac:dyDescent="0.2">
      <c r="D152" s="4"/>
    </row>
    <row r="153" spans="4:4" x14ac:dyDescent="0.2">
      <c r="D153" s="4"/>
    </row>
    <row r="154" spans="4:4" x14ac:dyDescent="0.2">
      <c r="D154" s="4"/>
    </row>
    <row r="155" spans="4:4" x14ac:dyDescent="0.2">
      <c r="D155" s="4"/>
    </row>
    <row r="156" spans="4:4" x14ac:dyDescent="0.2">
      <c r="D156" s="4"/>
    </row>
    <row r="157" spans="4:4" x14ac:dyDescent="0.2">
      <c r="D157" s="4"/>
    </row>
    <row r="158" spans="4:4" x14ac:dyDescent="0.2">
      <c r="D158" s="4"/>
    </row>
    <row r="159" spans="4:4" x14ac:dyDescent="0.2">
      <c r="D159" s="4"/>
    </row>
    <row r="160" spans="4:4" x14ac:dyDescent="0.2">
      <c r="D160" s="4"/>
    </row>
    <row r="161" spans="4:4" x14ac:dyDescent="0.2">
      <c r="D161" s="4"/>
    </row>
    <row r="162" spans="4:4" x14ac:dyDescent="0.2">
      <c r="D162" s="4"/>
    </row>
    <row r="163" spans="4:4" x14ac:dyDescent="0.2">
      <c r="D163" s="4"/>
    </row>
    <row r="164" spans="4:4" x14ac:dyDescent="0.2">
      <c r="D164" s="4"/>
    </row>
    <row r="165" spans="4:4" x14ac:dyDescent="0.2">
      <c r="D165" s="4"/>
    </row>
    <row r="166" spans="4:4" x14ac:dyDescent="0.2">
      <c r="D166" s="4"/>
    </row>
    <row r="167" spans="4:4" x14ac:dyDescent="0.2">
      <c r="D167" s="4"/>
    </row>
    <row r="168" spans="4:4" x14ac:dyDescent="0.2">
      <c r="D168" s="4"/>
    </row>
    <row r="169" spans="4:4" x14ac:dyDescent="0.2">
      <c r="D169" s="4"/>
    </row>
    <row r="170" spans="4:4" x14ac:dyDescent="0.2">
      <c r="D170" s="4"/>
    </row>
    <row r="171" spans="4:4" x14ac:dyDescent="0.2">
      <c r="D171" s="4"/>
    </row>
    <row r="172" spans="4:4" x14ac:dyDescent="0.2">
      <c r="D172" s="4"/>
    </row>
    <row r="173" spans="4:4" x14ac:dyDescent="0.2">
      <c r="D173" s="4"/>
    </row>
    <row r="174" spans="4:4" x14ac:dyDescent="0.2">
      <c r="D174" s="4"/>
    </row>
    <row r="175" spans="4:4" x14ac:dyDescent="0.2">
      <c r="D175" s="4"/>
    </row>
    <row r="176" spans="4:4" x14ac:dyDescent="0.2">
      <c r="D176" s="4"/>
    </row>
    <row r="177" spans="4:4" x14ac:dyDescent="0.2">
      <c r="D177" s="4"/>
    </row>
    <row r="178" spans="4:4" x14ac:dyDescent="0.2">
      <c r="D178" s="4"/>
    </row>
    <row r="179" spans="4:4" x14ac:dyDescent="0.2">
      <c r="D179" s="4"/>
    </row>
    <row r="180" spans="4:4" x14ac:dyDescent="0.2">
      <c r="D180" s="4"/>
    </row>
    <row r="181" spans="4:4" x14ac:dyDescent="0.2">
      <c r="D181" s="4"/>
    </row>
    <row r="182" spans="4:4" x14ac:dyDescent="0.2">
      <c r="D182" s="4"/>
    </row>
    <row r="183" spans="4:4" x14ac:dyDescent="0.2">
      <c r="D183" s="4"/>
    </row>
    <row r="184" spans="4:4" x14ac:dyDescent="0.2">
      <c r="D184" s="4"/>
    </row>
    <row r="185" spans="4:4" x14ac:dyDescent="0.2">
      <c r="D185" s="4"/>
    </row>
    <row r="186" spans="4:4" x14ac:dyDescent="0.2">
      <c r="D186" s="4"/>
    </row>
    <row r="187" spans="4:4" x14ac:dyDescent="0.2">
      <c r="D187" s="4"/>
    </row>
    <row r="188" spans="4:4" x14ac:dyDescent="0.2">
      <c r="D188" s="4"/>
    </row>
    <row r="189" spans="4:4" x14ac:dyDescent="0.2">
      <c r="D189" s="4"/>
    </row>
    <row r="190" spans="4:4" x14ac:dyDescent="0.2">
      <c r="D190" s="4"/>
    </row>
    <row r="191" spans="4:4" x14ac:dyDescent="0.2">
      <c r="D191" s="4"/>
    </row>
    <row r="192" spans="4:4" x14ac:dyDescent="0.2">
      <c r="D192" s="4"/>
    </row>
    <row r="193" spans="4:4" x14ac:dyDescent="0.2">
      <c r="D193" s="4"/>
    </row>
    <row r="194" spans="4:4" x14ac:dyDescent="0.2">
      <c r="D194" s="4"/>
    </row>
    <row r="195" spans="4:4" x14ac:dyDescent="0.2">
      <c r="D195" s="4"/>
    </row>
    <row r="196" spans="4:4" x14ac:dyDescent="0.2">
      <c r="D196" s="4"/>
    </row>
    <row r="197" spans="4:4" x14ac:dyDescent="0.2">
      <c r="D197" s="4"/>
    </row>
    <row r="198" spans="4:4" x14ac:dyDescent="0.2">
      <c r="D198" s="4"/>
    </row>
    <row r="199" spans="4:4" x14ac:dyDescent="0.2">
      <c r="D199" s="4"/>
    </row>
    <row r="200" spans="4:4" x14ac:dyDescent="0.2">
      <c r="D200" s="4"/>
    </row>
    <row r="201" spans="4:4" x14ac:dyDescent="0.2">
      <c r="D201" s="4"/>
    </row>
    <row r="202" spans="4:4" x14ac:dyDescent="0.2">
      <c r="D202" s="4"/>
    </row>
    <row r="203" spans="4:4" x14ac:dyDescent="0.2">
      <c r="D203" s="4"/>
    </row>
    <row r="204" spans="4:4" x14ac:dyDescent="0.2">
      <c r="D204" s="4"/>
    </row>
    <row r="205" spans="4:4" x14ac:dyDescent="0.2">
      <c r="D205" s="4"/>
    </row>
    <row r="206" spans="4:4" x14ac:dyDescent="0.2">
      <c r="D206" s="4"/>
    </row>
    <row r="207" spans="4:4" x14ac:dyDescent="0.2">
      <c r="D207" s="4"/>
    </row>
    <row r="208" spans="4:4" x14ac:dyDescent="0.2">
      <c r="D208" s="4"/>
    </row>
    <row r="209" spans="4:4" x14ac:dyDescent="0.2">
      <c r="D209" s="4"/>
    </row>
    <row r="210" spans="4:4" x14ac:dyDescent="0.2">
      <c r="D210" s="4"/>
    </row>
    <row r="211" spans="4:4" x14ac:dyDescent="0.2">
      <c r="D211" s="4"/>
    </row>
    <row r="212" spans="4:4" x14ac:dyDescent="0.2">
      <c r="D212" s="4"/>
    </row>
    <row r="213" spans="4:4" x14ac:dyDescent="0.2">
      <c r="D213" s="4"/>
    </row>
    <row r="214" spans="4:4" x14ac:dyDescent="0.2">
      <c r="D214" s="4"/>
    </row>
    <row r="215" spans="4:4" x14ac:dyDescent="0.2">
      <c r="D215" s="4"/>
    </row>
    <row r="216" spans="4:4" x14ac:dyDescent="0.2">
      <c r="D216" s="4"/>
    </row>
    <row r="217" spans="4:4" x14ac:dyDescent="0.2">
      <c r="D217" s="4"/>
    </row>
    <row r="218" spans="4:4" x14ac:dyDescent="0.2">
      <c r="D218" s="4"/>
    </row>
    <row r="219" spans="4:4" x14ac:dyDescent="0.2">
      <c r="D219" s="4"/>
    </row>
    <row r="220" spans="4:4" x14ac:dyDescent="0.2">
      <c r="D220" s="4"/>
    </row>
    <row r="221" spans="4:4" x14ac:dyDescent="0.2">
      <c r="D221" s="4"/>
    </row>
    <row r="222" spans="4:4" x14ac:dyDescent="0.2">
      <c r="D222" s="4"/>
    </row>
    <row r="223" spans="4:4" x14ac:dyDescent="0.2">
      <c r="D223" s="4"/>
    </row>
    <row r="224" spans="4:4" x14ac:dyDescent="0.2">
      <c r="D224" s="4"/>
    </row>
    <row r="225" spans="4:4" x14ac:dyDescent="0.2">
      <c r="D225" s="4"/>
    </row>
    <row r="226" spans="4:4" x14ac:dyDescent="0.2">
      <c r="D226" s="4"/>
    </row>
    <row r="227" spans="4:4" x14ac:dyDescent="0.2">
      <c r="D227" s="4"/>
    </row>
    <row r="228" spans="4:4" x14ac:dyDescent="0.2">
      <c r="D228" s="4"/>
    </row>
    <row r="229" spans="4:4" x14ac:dyDescent="0.2">
      <c r="D229" s="4"/>
    </row>
    <row r="230" spans="4:4" x14ac:dyDescent="0.2">
      <c r="D230" s="4"/>
    </row>
    <row r="231" spans="4:4" x14ac:dyDescent="0.2">
      <c r="D231" s="4"/>
    </row>
    <row r="232" spans="4:4" x14ac:dyDescent="0.2">
      <c r="D232" s="4"/>
    </row>
    <row r="233" spans="4:4" x14ac:dyDescent="0.2">
      <c r="D233" s="4"/>
    </row>
    <row r="234" spans="4:4" x14ac:dyDescent="0.2">
      <c r="D234" s="4"/>
    </row>
    <row r="235" spans="4:4" x14ac:dyDescent="0.2">
      <c r="D235" s="4"/>
    </row>
    <row r="236" spans="4:4" x14ac:dyDescent="0.2">
      <c r="D236" s="4"/>
    </row>
    <row r="237" spans="4:4" x14ac:dyDescent="0.2">
      <c r="D237" s="4"/>
    </row>
    <row r="238" spans="4:4" x14ac:dyDescent="0.2">
      <c r="D238" s="4"/>
    </row>
    <row r="239" spans="4:4" x14ac:dyDescent="0.2">
      <c r="D239" s="4"/>
    </row>
    <row r="240" spans="4:4" x14ac:dyDescent="0.2">
      <c r="D240" s="4"/>
    </row>
    <row r="241" spans="4:4" x14ac:dyDescent="0.2">
      <c r="D241" s="4"/>
    </row>
    <row r="242" spans="4:4" x14ac:dyDescent="0.2">
      <c r="D242" s="4"/>
    </row>
    <row r="243" spans="4:4" x14ac:dyDescent="0.2">
      <c r="D243" s="4"/>
    </row>
    <row r="244" spans="4:4" x14ac:dyDescent="0.2">
      <c r="D244" s="4"/>
    </row>
    <row r="245" spans="4:4" x14ac:dyDescent="0.2">
      <c r="D245" s="4"/>
    </row>
    <row r="246" spans="4:4" x14ac:dyDescent="0.2">
      <c r="D246" s="4"/>
    </row>
    <row r="247" spans="4:4" x14ac:dyDescent="0.2">
      <c r="D247" s="4"/>
    </row>
    <row r="248" spans="4:4" x14ac:dyDescent="0.2">
      <c r="D248" s="4"/>
    </row>
    <row r="249" spans="4:4" x14ac:dyDescent="0.2">
      <c r="D249" s="4"/>
    </row>
    <row r="250" spans="4:4" x14ac:dyDescent="0.2">
      <c r="D250" s="4"/>
    </row>
    <row r="251" spans="4:4" x14ac:dyDescent="0.2">
      <c r="D251" s="4"/>
    </row>
    <row r="252" spans="4:4" x14ac:dyDescent="0.2">
      <c r="D252" s="4"/>
    </row>
    <row r="253" spans="4:4" x14ac:dyDescent="0.2">
      <c r="D253" s="4"/>
    </row>
    <row r="254" spans="4:4" x14ac:dyDescent="0.2">
      <c r="D254" s="4"/>
    </row>
    <row r="255" spans="4:4" x14ac:dyDescent="0.2">
      <c r="D255" s="4"/>
    </row>
    <row r="256" spans="4:4" x14ac:dyDescent="0.2">
      <c r="D256" s="4"/>
    </row>
    <row r="257" spans="4:4" x14ac:dyDescent="0.2">
      <c r="D257" s="4"/>
    </row>
    <row r="258" spans="4:4" x14ac:dyDescent="0.2">
      <c r="D258" s="4"/>
    </row>
    <row r="259" spans="4:4" x14ac:dyDescent="0.2">
      <c r="D259" s="4"/>
    </row>
    <row r="260" spans="4:4" x14ac:dyDescent="0.2">
      <c r="D260" s="4"/>
    </row>
    <row r="261" spans="4:4" x14ac:dyDescent="0.2">
      <c r="D261" s="4"/>
    </row>
    <row r="262" spans="4:4" x14ac:dyDescent="0.2">
      <c r="D262" s="4"/>
    </row>
    <row r="263" spans="4:4" x14ac:dyDescent="0.2">
      <c r="D263" s="4"/>
    </row>
    <row r="264" spans="4:4" x14ac:dyDescent="0.2">
      <c r="D264" s="4"/>
    </row>
    <row r="265" spans="4:4" x14ac:dyDescent="0.2">
      <c r="D265" s="4"/>
    </row>
    <row r="266" spans="4:4" x14ac:dyDescent="0.2">
      <c r="D266" s="4"/>
    </row>
    <row r="267" spans="4:4" x14ac:dyDescent="0.2">
      <c r="D267" s="4"/>
    </row>
    <row r="268" spans="4:4" x14ac:dyDescent="0.2">
      <c r="D268" s="4"/>
    </row>
    <row r="269" spans="4:4" x14ac:dyDescent="0.2">
      <c r="D269" s="4"/>
    </row>
    <row r="270" spans="4:4" x14ac:dyDescent="0.2">
      <c r="D270" s="4"/>
    </row>
    <row r="271" spans="4:4" x14ac:dyDescent="0.2">
      <c r="D271" s="4"/>
    </row>
    <row r="272" spans="4:4" x14ac:dyDescent="0.2">
      <c r="D272" s="4"/>
    </row>
    <row r="273" spans="4:4" x14ac:dyDescent="0.2">
      <c r="D273" s="4"/>
    </row>
    <row r="274" spans="4:4" x14ac:dyDescent="0.2">
      <c r="D274" s="4"/>
    </row>
    <row r="275" spans="4:4" x14ac:dyDescent="0.2">
      <c r="D275" s="4"/>
    </row>
    <row r="276" spans="4:4" x14ac:dyDescent="0.2">
      <c r="D276" s="4"/>
    </row>
    <row r="277" spans="4:4" x14ac:dyDescent="0.2">
      <c r="D277" s="4"/>
    </row>
    <row r="278" spans="4:4" x14ac:dyDescent="0.2">
      <c r="D278" s="4"/>
    </row>
    <row r="279" spans="4:4" x14ac:dyDescent="0.2">
      <c r="D279" s="4"/>
    </row>
    <row r="280" spans="4:4" x14ac:dyDescent="0.2">
      <c r="D280" s="4"/>
    </row>
    <row r="281" spans="4:4" x14ac:dyDescent="0.2">
      <c r="D281" s="4"/>
    </row>
    <row r="282" spans="4:4" x14ac:dyDescent="0.2">
      <c r="D282" s="4"/>
    </row>
    <row r="283" spans="4:4" x14ac:dyDescent="0.2">
      <c r="D283" s="4"/>
    </row>
    <row r="284" spans="4:4" x14ac:dyDescent="0.2">
      <c r="D284" s="4"/>
    </row>
    <row r="285" spans="4:4" x14ac:dyDescent="0.2">
      <c r="D285" s="4"/>
    </row>
    <row r="286" spans="4:4" x14ac:dyDescent="0.2">
      <c r="D286" s="4"/>
    </row>
    <row r="287" spans="4:4" x14ac:dyDescent="0.2">
      <c r="D287" s="4"/>
    </row>
    <row r="288" spans="4:4" x14ac:dyDescent="0.2">
      <c r="D288" s="4"/>
    </row>
    <row r="289" spans="4:4" x14ac:dyDescent="0.2">
      <c r="D289" s="4"/>
    </row>
    <row r="290" spans="4:4" x14ac:dyDescent="0.2">
      <c r="D290" s="4"/>
    </row>
    <row r="291" spans="4:4" x14ac:dyDescent="0.2">
      <c r="D291" s="4"/>
    </row>
    <row r="292" spans="4:4" x14ac:dyDescent="0.2">
      <c r="D292" s="4"/>
    </row>
    <row r="293" spans="4:4" x14ac:dyDescent="0.2">
      <c r="D293" s="4"/>
    </row>
    <row r="294" spans="4:4" x14ac:dyDescent="0.2">
      <c r="D294" s="4"/>
    </row>
    <row r="295" spans="4:4" x14ac:dyDescent="0.2">
      <c r="D295" s="4"/>
    </row>
    <row r="296" spans="4:4" x14ac:dyDescent="0.2">
      <c r="D296" s="4"/>
    </row>
    <row r="297" spans="4:4" x14ac:dyDescent="0.2">
      <c r="D297" s="4"/>
    </row>
    <row r="298" spans="4:4" x14ac:dyDescent="0.2">
      <c r="D298" s="4"/>
    </row>
    <row r="299" spans="4:4" x14ac:dyDescent="0.2">
      <c r="D299" s="4"/>
    </row>
    <row r="300" spans="4:4" x14ac:dyDescent="0.2">
      <c r="D300" s="4"/>
    </row>
    <row r="301" spans="4:4" x14ac:dyDescent="0.2">
      <c r="D301" s="4"/>
    </row>
    <row r="302" spans="4:4" x14ac:dyDescent="0.2">
      <c r="D302" s="4"/>
    </row>
    <row r="303" spans="4:4" x14ac:dyDescent="0.2">
      <c r="D303" s="4"/>
    </row>
    <row r="304" spans="4:4" x14ac:dyDescent="0.2">
      <c r="D304" s="4"/>
    </row>
    <row r="305" spans="4:4" x14ac:dyDescent="0.2">
      <c r="D305" s="4"/>
    </row>
    <row r="306" spans="4:4" x14ac:dyDescent="0.2">
      <c r="D306" s="4"/>
    </row>
    <row r="307" spans="4:4" x14ac:dyDescent="0.2">
      <c r="D307" s="4"/>
    </row>
    <row r="308" spans="4:4" x14ac:dyDescent="0.2">
      <c r="D308" s="4"/>
    </row>
    <row r="309" spans="4:4" x14ac:dyDescent="0.2">
      <c r="D309" s="4"/>
    </row>
    <row r="310" spans="4:4" x14ac:dyDescent="0.2">
      <c r="D310" s="4"/>
    </row>
    <row r="311" spans="4:4" x14ac:dyDescent="0.2">
      <c r="D311" s="4"/>
    </row>
    <row r="312" spans="4:4" x14ac:dyDescent="0.2">
      <c r="D312" s="4"/>
    </row>
    <row r="313" spans="4:4" x14ac:dyDescent="0.2">
      <c r="D313" s="4"/>
    </row>
    <row r="314" spans="4:4" x14ac:dyDescent="0.2">
      <c r="D314" s="4"/>
    </row>
    <row r="315" spans="4:4" x14ac:dyDescent="0.2">
      <c r="D315" s="4"/>
    </row>
    <row r="316" spans="4:4" x14ac:dyDescent="0.2">
      <c r="D316" s="4"/>
    </row>
    <row r="317" spans="4:4" x14ac:dyDescent="0.2">
      <c r="D317" s="4"/>
    </row>
    <row r="318" spans="4:4" x14ac:dyDescent="0.2">
      <c r="D318" s="4"/>
    </row>
    <row r="319" spans="4:4" x14ac:dyDescent="0.2">
      <c r="D319" s="4"/>
    </row>
    <row r="320" spans="4:4" x14ac:dyDescent="0.2">
      <c r="D320" s="4"/>
    </row>
    <row r="321" spans="4:4" x14ac:dyDescent="0.2">
      <c r="D321" s="4"/>
    </row>
    <row r="322" spans="4:4" x14ac:dyDescent="0.2">
      <c r="D322" s="4"/>
    </row>
    <row r="323" spans="4:4" x14ac:dyDescent="0.2">
      <c r="D323" s="4"/>
    </row>
    <row r="324" spans="4:4" x14ac:dyDescent="0.2">
      <c r="D324" s="4"/>
    </row>
    <row r="325" spans="4:4" x14ac:dyDescent="0.2">
      <c r="D325" s="4"/>
    </row>
    <row r="326" spans="4:4" x14ac:dyDescent="0.2">
      <c r="D326" s="4"/>
    </row>
    <row r="327" spans="4:4" x14ac:dyDescent="0.2">
      <c r="D327" s="4"/>
    </row>
    <row r="328" spans="4:4" x14ac:dyDescent="0.2">
      <c r="D328" s="4"/>
    </row>
    <row r="329" spans="4:4" x14ac:dyDescent="0.2">
      <c r="D329" s="4"/>
    </row>
    <row r="330" spans="4:4" x14ac:dyDescent="0.2">
      <c r="D330" s="4"/>
    </row>
    <row r="331" spans="4:4" x14ac:dyDescent="0.2">
      <c r="D331" s="4"/>
    </row>
    <row r="332" spans="4:4" x14ac:dyDescent="0.2">
      <c r="D332" s="4"/>
    </row>
    <row r="333" spans="4:4" x14ac:dyDescent="0.2">
      <c r="D333" s="4"/>
    </row>
    <row r="334" spans="4:4" x14ac:dyDescent="0.2">
      <c r="D334" s="4"/>
    </row>
    <row r="335" spans="4:4" x14ac:dyDescent="0.2">
      <c r="D335" s="4"/>
    </row>
    <row r="336" spans="4:4" x14ac:dyDescent="0.2">
      <c r="D336" s="4"/>
    </row>
    <row r="337" spans="4:4" x14ac:dyDescent="0.2">
      <c r="D337" s="4"/>
    </row>
    <row r="338" spans="4:4" x14ac:dyDescent="0.2">
      <c r="D338" s="4"/>
    </row>
    <row r="339" spans="4:4" x14ac:dyDescent="0.2">
      <c r="D339" s="4"/>
    </row>
    <row r="340" spans="4:4" x14ac:dyDescent="0.2">
      <c r="D340" s="4"/>
    </row>
    <row r="341" spans="4:4" x14ac:dyDescent="0.2">
      <c r="D341" s="4"/>
    </row>
    <row r="342" spans="4:4" x14ac:dyDescent="0.2">
      <c r="D342" s="4"/>
    </row>
    <row r="343" spans="4:4" x14ac:dyDescent="0.2">
      <c r="D343" s="4"/>
    </row>
    <row r="344" spans="4:4" x14ac:dyDescent="0.2">
      <c r="D344" s="4"/>
    </row>
    <row r="345" spans="4:4" x14ac:dyDescent="0.2">
      <c r="D345" s="4"/>
    </row>
    <row r="346" spans="4:4" x14ac:dyDescent="0.2">
      <c r="D346" s="4"/>
    </row>
    <row r="347" spans="4:4" x14ac:dyDescent="0.2">
      <c r="D347" s="4"/>
    </row>
    <row r="348" spans="4:4" x14ac:dyDescent="0.2">
      <c r="D348" s="4"/>
    </row>
    <row r="349" spans="4:4" x14ac:dyDescent="0.2">
      <c r="D349" s="4"/>
    </row>
    <row r="350" spans="4:4" x14ac:dyDescent="0.2">
      <c r="D350" s="4"/>
    </row>
    <row r="351" spans="4:4" x14ac:dyDescent="0.2">
      <c r="D351" s="4"/>
    </row>
    <row r="352" spans="4:4" x14ac:dyDescent="0.2">
      <c r="D352" s="4"/>
    </row>
    <row r="353" spans="4:4" x14ac:dyDescent="0.2">
      <c r="D353" s="4"/>
    </row>
    <row r="354" spans="4:4" x14ac:dyDescent="0.2">
      <c r="D354" s="4"/>
    </row>
    <row r="355" spans="4:4" x14ac:dyDescent="0.2">
      <c r="D355" s="4"/>
    </row>
    <row r="356" spans="4:4" x14ac:dyDescent="0.2">
      <c r="D356" s="4"/>
    </row>
    <row r="357" spans="4:4" x14ac:dyDescent="0.2">
      <c r="D357" s="4"/>
    </row>
    <row r="358" spans="4:4" x14ac:dyDescent="0.2">
      <c r="D358" s="4"/>
    </row>
    <row r="359" spans="4:4" x14ac:dyDescent="0.2">
      <c r="D359" s="4"/>
    </row>
    <row r="360" spans="4:4" x14ac:dyDescent="0.2">
      <c r="D360" s="4"/>
    </row>
    <row r="361" spans="4:4" x14ac:dyDescent="0.2">
      <c r="D361" s="4"/>
    </row>
    <row r="362" spans="4:4" x14ac:dyDescent="0.2">
      <c r="D362" s="4"/>
    </row>
    <row r="363" spans="4:4" x14ac:dyDescent="0.2">
      <c r="D363" s="4"/>
    </row>
    <row r="364" spans="4:4" x14ac:dyDescent="0.2">
      <c r="D364" s="4"/>
    </row>
    <row r="365" spans="4:4" x14ac:dyDescent="0.2">
      <c r="D365" s="4"/>
    </row>
    <row r="366" spans="4:4" x14ac:dyDescent="0.2">
      <c r="D366" s="4"/>
    </row>
    <row r="367" spans="4:4" x14ac:dyDescent="0.2">
      <c r="D367" s="4"/>
    </row>
    <row r="368" spans="4:4" x14ac:dyDescent="0.2">
      <c r="D368" s="4"/>
    </row>
    <row r="369" spans="4:4" x14ac:dyDescent="0.2">
      <c r="D369" s="4"/>
    </row>
    <row r="370" spans="4:4" x14ac:dyDescent="0.2">
      <c r="D370" s="4"/>
    </row>
    <row r="371" spans="4:4" x14ac:dyDescent="0.2">
      <c r="D371" s="4"/>
    </row>
    <row r="372" spans="4:4" x14ac:dyDescent="0.2">
      <c r="D372" s="4"/>
    </row>
    <row r="373" spans="4:4" x14ac:dyDescent="0.2">
      <c r="D373" s="4"/>
    </row>
    <row r="374" spans="4:4" x14ac:dyDescent="0.2">
      <c r="D374" s="4"/>
    </row>
    <row r="375" spans="4:4" x14ac:dyDescent="0.2">
      <c r="D375" s="4"/>
    </row>
    <row r="376" spans="4:4" x14ac:dyDescent="0.2">
      <c r="D376" s="4"/>
    </row>
    <row r="377" spans="4:4" x14ac:dyDescent="0.2">
      <c r="D377" s="4"/>
    </row>
    <row r="378" spans="4:4" x14ac:dyDescent="0.2">
      <c r="D378" s="4"/>
    </row>
    <row r="379" spans="4:4" x14ac:dyDescent="0.2">
      <c r="D379" s="4"/>
    </row>
    <row r="380" spans="4:4" x14ac:dyDescent="0.2">
      <c r="D380" s="4"/>
    </row>
    <row r="381" spans="4:4" x14ac:dyDescent="0.2">
      <c r="D381" s="4"/>
    </row>
    <row r="382" spans="4:4" x14ac:dyDescent="0.2">
      <c r="D382" s="4"/>
    </row>
    <row r="383" spans="4:4" x14ac:dyDescent="0.2">
      <c r="D383" s="4"/>
    </row>
    <row r="384" spans="4:4" x14ac:dyDescent="0.2">
      <c r="D384" s="4"/>
    </row>
    <row r="385" spans="4:4" x14ac:dyDescent="0.2">
      <c r="D385" s="4"/>
    </row>
    <row r="386" spans="4:4" x14ac:dyDescent="0.2">
      <c r="D386" s="4"/>
    </row>
    <row r="387" spans="4:4" x14ac:dyDescent="0.2">
      <c r="D387" s="4"/>
    </row>
    <row r="388" spans="4:4" x14ac:dyDescent="0.2">
      <c r="D388" s="4"/>
    </row>
    <row r="389" spans="4:4" x14ac:dyDescent="0.2">
      <c r="D389" s="4"/>
    </row>
    <row r="390" spans="4:4" x14ac:dyDescent="0.2">
      <c r="D390" s="4"/>
    </row>
    <row r="391" spans="4:4" x14ac:dyDescent="0.2">
      <c r="D391" s="4"/>
    </row>
    <row r="392" spans="4:4" x14ac:dyDescent="0.2">
      <c r="D392" s="4"/>
    </row>
    <row r="393" spans="4:4" x14ac:dyDescent="0.2">
      <c r="D393" s="4"/>
    </row>
    <row r="394" spans="4:4" x14ac:dyDescent="0.2">
      <c r="D394" s="4"/>
    </row>
    <row r="395" spans="4:4" x14ac:dyDescent="0.2">
      <c r="D395" s="4"/>
    </row>
    <row r="396" spans="4:4" x14ac:dyDescent="0.2">
      <c r="D396" s="4"/>
    </row>
    <row r="397" spans="4:4" x14ac:dyDescent="0.2">
      <c r="D397" s="4"/>
    </row>
    <row r="398" spans="4:4" x14ac:dyDescent="0.2">
      <c r="D398" s="4"/>
    </row>
    <row r="399" spans="4:4" x14ac:dyDescent="0.2">
      <c r="D399" s="4"/>
    </row>
    <row r="400" spans="4:4" x14ac:dyDescent="0.2">
      <c r="D400" s="4"/>
    </row>
    <row r="401" spans="4:4" x14ac:dyDescent="0.2">
      <c r="D401" s="4"/>
    </row>
    <row r="402" spans="4:4" x14ac:dyDescent="0.2">
      <c r="D402" s="4"/>
    </row>
    <row r="403" spans="4:4" x14ac:dyDescent="0.2">
      <c r="D403" s="4"/>
    </row>
    <row r="404" spans="4:4" x14ac:dyDescent="0.2">
      <c r="D404" s="4"/>
    </row>
    <row r="405" spans="4:4" x14ac:dyDescent="0.2">
      <c r="D405" s="4"/>
    </row>
    <row r="406" spans="4:4" x14ac:dyDescent="0.2">
      <c r="D406" s="4"/>
    </row>
    <row r="407" spans="4:4" x14ac:dyDescent="0.2">
      <c r="D407" s="4"/>
    </row>
    <row r="408" spans="4:4" x14ac:dyDescent="0.2">
      <c r="D408" s="4"/>
    </row>
    <row r="409" spans="4:4" x14ac:dyDescent="0.2">
      <c r="D409" s="4"/>
    </row>
    <row r="410" spans="4:4" x14ac:dyDescent="0.2">
      <c r="D410" s="4"/>
    </row>
    <row r="411" spans="4:4" x14ac:dyDescent="0.2">
      <c r="D411" s="4"/>
    </row>
    <row r="412" spans="4:4" x14ac:dyDescent="0.2">
      <c r="D412" s="4"/>
    </row>
    <row r="413" spans="4:4" x14ac:dyDescent="0.2">
      <c r="D413" s="4"/>
    </row>
    <row r="414" spans="4:4" x14ac:dyDescent="0.2">
      <c r="D414" s="4"/>
    </row>
    <row r="415" spans="4:4" x14ac:dyDescent="0.2">
      <c r="D415" s="4"/>
    </row>
    <row r="416" spans="4:4" x14ac:dyDescent="0.2">
      <c r="D416" s="4"/>
    </row>
    <row r="417" spans="4:4" x14ac:dyDescent="0.2">
      <c r="D417" s="4"/>
    </row>
    <row r="418" spans="4:4" x14ac:dyDescent="0.2">
      <c r="D418" s="4"/>
    </row>
    <row r="419" spans="4:4" x14ac:dyDescent="0.2">
      <c r="D419" s="4"/>
    </row>
    <row r="420" spans="4:4" x14ac:dyDescent="0.2">
      <c r="D420" s="4"/>
    </row>
    <row r="421" spans="4:4" x14ac:dyDescent="0.2">
      <c r="D421" s="4"/>
    </row>
    <row r="422" spans="4:4" x14ac:dyDescent="0.2">
      <c r="D422" s="4"/>
    </row>
    <row r="423" spans="4:4" x14ac:dyDescent="0.2">
      <c r="D423" s="4"/>
    </row>
    <row r="424" spans="4:4" x14ac:dyDescent="0.2">
      <c r="D424" s="4"/>
    </row>
    <row r="425" spans="4:4" x14ac:dyDescent="0.2">
      <c r="D425" s="4"/>
    </row>
    <row r="426" spans="4:4" x14ac:dyDescent="0.2">
      <c r="D426" s="4"/>
    </row>
    <row r="427" spans="4:4" x14ac:dyDescent="0.2">
      <c r="D427" s="4"/>
    </row>
    <row r="428" spans="4:4" x14ac:dyDescent="0.2">
      <c r="D428" s="4"/>
    </row>
    <row r="429" spans="4:4" x14ac:dyDescent="0.2">
      <c r="D429" s="4"/>
    </row>
    <row r="430" spans="4:4" x14ac:dyDescent="0.2">
      <c r="D430" s="4"/>
    </row>
    <row r="431" spans="4:4" x14ac:dyDescent="0.2">
      <c r="D431" s="4"/>
    </row>
    <row r="432" spans="4:4" x14ac:dyDescent="0.2">
      <c r="D432" s="4"/>
    </row>
    <row r="433" spans="4:4" x14ac:dyDescent="0.2">
      <c r="D433" s="4"/>
    </row>
    <row r="434" spans="4:4" x14ac:dyDescent="0.2">
      <c r="D434" s="4"/>
    </row>
    <row r="435" spans="4:4" x14ac:dyDescent="0.2">
      <c r="D435" s="4"/>
    </row>
    <row r="436" spans="4:4" x14ac:dyDescent="0.2">
      <c r="D436" s="4"/>
    </row>
    <row r="437" spans="4:4" x14ac:dyDescent="0.2">
      <c r="D437" s="4"/>
    </row>
    <row r="438" spans="4:4" x14ac:dyDescent="0.2">
      <c r="D438" s="4"/>
    </row>
    <row r="439" spans="4:4" x14ac:dyDescent="0.2">
      <c r="D439" s="4"/>
    </row>
    <row r="440" spans="4:4" x14ac:dyDescent="0.2">
      <c r="D440" s="4"/>
    </row>
    <row r="441" spans="4:4" x14ac:dyDescent="0.2">
      <c r="D441" s="4"/>
    </row>
    <row r="442" spans="4:4" x14ac:dyDescent="0.2">
      <c r="D442" s="4"/>
    </row>
    <row r="443" spans="4:4" x14ac:dyDescent="0.2">
      <c r="D443" s="4"/>
    </row>
    <row r="444" spans="4:4" x14ac:dyDescent="0.2">
      <c r="D444" s="4"/>
    </row>
    <row r="445" spans="4:4" x14ac:dyDescent="0.2">
      <c r="D445" s="4"/>
    </row>
    <row r="446" spans="4:4" x14ac:dyDescent="0.2">
      <c r="D446" s="4"/>
    </row>
    <row r="447" spans="4:4" x14ac:dyDescent="0.2">
      <c r="D447" s="4"/>
    </row>
    <row r="448" spans="4:4" x14ac:dyDescent="0.2">
      <c r="D448" s="4"/>
    </row>
    <row r="449" spans="4:4" x14ac:dyDescent="0.2">
      <c r="D449" s="4"/>
    </row>
    <row r="450" spans="4:4" x14ac:dyDescent="0.2">
      <c r="D450" s="4"/>
    </row>
    <row r="451" spans="4:4" x14ac:dyDescent="0.2">
      <c r="D451" s="4"/>
    </row>
    <row r="452" spans="4:4" x14ac:dyDescent="0.2">
      <c r="D452" s="4"/>
    </row>
    <row r="453" spans="4:4" x14ac:dyDescent="0.2">
      <c r="D453" s="4"/>
    </row>
    <row r="454" spans="4:4" x14ac:dyDescent="0.2">
      <c r="D454" s="4"/>
    </row>
    <row r="455" spans="4:4" x14ac:dyDescent="0.2">
      <c r="D455" s="4"/>
    </row>
    <row r="456" spans="4:4" x14ac:dyDescent="0.2">
      <c r="D456" s="4"/>
    </row>
    <row r="457" spans="4:4" x14ac:dyDescent="0.2">
      <c r="D457" s="4"/>
    </row>
    <row r="458" spans="4:4" x14ac:dyDescent="0.2">
      <c r="D458" s="4"/>
    </row>
    <row r="459" spans="4:4" x14ac:dyDescent="0.2">
      <c r="D459" s="4"/>
    </row>
    <row r="460" spans="4:4" x14ac:dyDescent="0.2">
      <c r="D460" s="4"/>
    </row>
    <row r="461" spans="4:4" x14ac:dyDescent="0.2">
      <c r="D461" s="4"/>
    </row>
    <row r="462" spans="4:4" x14ac:dyDescent="0.2">
      <c r="D462" s="4"/>
    </row>
    <row r="463" spans="4:4" x14ac:dyDescent="0.2">
      <c r="D463" s="4"/>
    </row>
    <row r="464" spans="4:4" x14ac:dyDescent="0.2">
      <c r="D464" s="4"/>
    </row>
    <row r="465" spans="4:4" x14ac:dyDescent="0.2">
      <c r="D465" s="4"/>
    </row>
    <row r="466" spans="4:4" x14ac:dyDescent="0.2">
      <c r="D466" s="4"/>
    </row>
    <row r="467" spans="4:4" x14ac:dyDescent="0.2">
      <c r="D467" s="4"/>
    </row>
    <row r="468" spans="4:4" x14ac:dyDescent="0.2">
      <c r="D468" s="4"/>
    </row>
    <row r="469" spans="4:4" x14ac:dyDescent="0.2">
      <c r="D469" s="4"/>
    </row>
    <row r="470" spans="4:4" x14ac:dyDescent="0.2">
      <c r="D470" s="4"/>
    </row>
    <row r="471" spans="4:4" x14ac:dyDescent="0.2">
      <c r="D471" s="4"/>
    </row>
    <row r="472" spans="4:4" x14ac:dyDescent="0.2">
      <c r="D472" s="4"/>
    </row>
    <row r="473" spans="4:4" x14ac:dyDescent="0.2">
      <c r="D473" s="4"/>
    </row>
    <row r="474" spans="4:4" x14ac:dyDescent="0.2">
      <c r="D474" s="4"/>
    </row>
    <row r="475" spans="4:4" x14ac:dyDescent="0.2">
      <c r="D475" s="4"/>
    </row>
    <row r="476" spans="4:4" x14ac:dyDescent="0.2">
      <c r="D476" s="4"/>
    </row>
    <row r="477" spans="4:4" x14ac:dyDescent="0.2">
      <c r="D477" s="4"/>
    </row>
    <row r="478" spans="4:4" x14ac:dyDescent="0.2">
      <c r="D478" s="4"/>
    </row>
    <row r="479" spans="4:4" x14ac:dyDescent="0.2">
      <c r="D479" s="4"/>
    </row>
    <row r="480" spans="4:4" x14ac:dyDescent="0.2">
      <c r="D480" s="4"/>
    </row>
    <row r="481" spans="4:4" x14ac:dyDescent="0.2">
      <c r="D481" s="4"/>
    </row>
    <row r="482" spans="4:4" x14ac:dyDescent="0.2">
      <c r="D482" s="4"/>
    </row>
    <row r="483" spans="4:4" x14ac:dyDescent="0.2">
      <c r="D483" s="4"/>
    </row>
    <row r="484" spans="4:4" x14ac:dyDescent="0.2">
      <c r="D484" s="4"/>
    </row>
    <row r="485" spans="4:4" x14ac:dyDescent="0.2">
      <c r="D485" s="4"/>
    </row>
    <row r="486" spans="4:4" x14ac:dyDescent="0.2">
      <c r="D486" s="4"/>
    </row>
    <row r="487" spans="4:4" x14ac:dyDescent="0.2">
      <c r="D487" s="4"/>
    </row>
    <row r="488" spans="4:4" x14ac:dyDescent="0.2">
      <c r="D488" s="4"/>
    </row>
    <row r="489" spans="4:4" x14ac:dyDescent="0.2">
      <c r="D489" s="4"/>
    </row>
    <row r="490" spans="4:4" x14ac:dyDescent="0.2">
      <c r="D490" s="4"/>
    </row>
    <row r="491" spans="4:4" x14ac:dyDescent="0.2">
      <c r="D491" s="4"/>
    </row>
    <row r="492" spans="4:4" x14ac:dyDescent="0.2">
      <c r="D492" s="4"/>
    </row>
    <row r="493" spans="4:4" x14ac:dyDescent="0.2">
      <c r="D493" s="4"/>
    </row>
    <row r="494" spans="4:4" x14ac:dyDescent="0.2">
      <c r="D494" s="4"/>
    </row>
    <row r="495" spans="4:4" x14ac:dyDescent="0.2">
      <c r="D495" s="4"/>
    </row>
    <row r="496" spans="4:4" x14ac:dyDescent="0.2">
      <c r="D496" s="4"/>
    </row>
    <row r="497" spans="4:4" x14ac:dyDescent="0.2">
      <c r="D497" s="4"/>
    </row>
    <row r="498" spans="4:4" x14ac:dyDescent="0.2">
      <c r="D498" s="4"/>
    </row>
    <row r="499" spans="4:4" x14ac:dyDescent="0.2">
      <c r="D499" s="4"/>
    </row>
    <row r="500" spans="4:4" x14ac:dyDescent="0.2">
      <c r="D500" s="4"/>
    </row>
    <row r="501" spans="4:4" x14ac:dyDescent="0.2">
      <c r="D501" s="4"/>
    </row>
    <row r="502" spans="4:4" x14ac:dyDescent="0.2">
      <c r="D502" s="4"/>
    </row>
    <row r="503" spans="4:4" x14ac:dyDescent="0.2">
      <c r="D503" s="4"/>
    </row>
    <row r="504" spans="4:4" x14ac:dyDescent="0.2">
      <c r="D504" s="4"/>
    </row>
    <row r="505" spans="4:4" x14ac:dyDescent="0.2">
      <c r="D505" s="4"/>
    </row>
    <row r="506" spans="4:4" x14ac:dyDescent="0.2">
      <c r="D506" s="4"/>
    </row>
    <row r="507" spans="4:4" x14ac:dyDescent="0.2">
      <c r="D507" s="4"/>
    </row>
    <row r="508" spans="4:4" x14ac:dyDescent="0.2">
      <c r="D508" s="4"/>
    </row>
    <row r="509" spans="4:4" x14ac:dyDescent="0.2">
      <c r="D509" s="4"/>
    </row>
    <row r="510" spans="4:4" x14ac:dyDescent="0.2">
      <c r="D510" s="4"/>
    </row>
    <row r="511" spans="4:4" x14ac:dyDescent="0.2">
      <c r="D511" s="4"/>
    </row>
    <row r="512" spans="4:4" x14ac:dyDescent="0.2">
      <c r="D512" s="4"/>
    </row>
    <row r="513" spans="4:4" x14ac:dyDescent="0.2">
      <c r="D513" s="4"/>
    </row>
    <row r="514" spans="4:4" x14ac:dyDescent="0.2">
      <c r="D514" s="4"/>
    </row>
    <row r="515" spans="4:4" x14ac:dyDescent="0.2">
      <c r="D515" s="4"/>
    </row>
    <row r="516" spans="4:4" x14ac:dyDescent="0.2">
      <c r="D516" s="4"/>
    </row>
    <row r="517" spans="4:4" x14ac:dyDescent="0.2">
      <c r="D517" s="4"/>
    </row>
    <row r="518" spans="4:4" x14ac:dyDescent="0.2">
      <c r="D518" s="4"/>
    </row>
    <row r="519" spans="4:4" x14ac:dyDescent="0.2">
      <c r="D519" s="4"/>
    </row>
    <row r="520" spans="4:4" x14ac:dyDescent="0.2">
      <c r="D520" s="4"/>
    </row>
    <row r="521" spans="4:4" x14ac:dyDescent="0.2">
      <c r="D521" s="4"/>
    </row>
    <row r="522" spans="4:4" x14ac:dyDescent="0.2">
      <c r="D522" s="4"/>
    </row>
    <row r="523" spans="4:4" x14ac:dyDescent="0.2">
      <c r="D523" s="4"/>
    </row>
    <row r="524" spans="4:4" x14ac:dyDescent="0.2">
      <c r="D524" s="4"/>
    </row>
    <row r="525" spans="4:4" x14ac:dyDescent="0.2">
      <c r="D525" s="4"/>
    </row>
    <row r="526" spans="4:4" x14ac:dyDescent="0.2">
      <c r="D526" s="4"/>
    </row>
    <row r="527" spans="4:4" x14ac:dyDescent="0.2">
      <c r="D527" s="4"/>
    </row>
    <row r="528" spans="4:4" x14ac:dyDescent="0.2">
      <c r="D528" s="4"/>
    </row>
    <row r="529" spans="4:4" x14ac:dyDescent="0.2">
      <c r="D529" s="4"/>
    </row>
    <row r="530" spans="4:4" x14ac:dyDescent="0.2">
      <c r="D530" s="4"/>
    </row>
    <row r="531" spans="4:4" x14ac:dyDescent="0.2">
      <c r="D531" s="4"/>
    </row>
    <row r="532" spans="4:4" x14ac:dyDescent="0.2">
      <c r="D532" s="4"/>
    </row>
    <row r="533" spans="4:4" x14ac:dyDescent="0.2">
      <c r="D533" s="4"/>
    </row>
    <row r="534" spans="4:4" x14ac:dyDescent="0.2">
      <c r="D534" s="4"/>
    </row>
    <row r="535" spans="4:4" x14ac:dyDescent="0.2">
      <c r="D535" s="4"/>
    </row>
    <row r="536" spans="4:4" x14ac:dyDescent="0.2">
      <c r="D536" s="4"/>
    </row>
    <row r="537" spans="4:4" x14ac:dyDescent="0.2">
      <c r="D537" s="4"/>
    </row>
    <row r="538" spans="4:4" x14ac:dyDescent="0.2">
      <c r="D538" s="4"/>
    </row>
    <row r="539" spans="4:4" x14ac:dyDescent="0.2">
      <c r="D539" s="4"/>
    </row>
    <row r="540" spans="4:4" x14ac:dyDescent="0.2">
      <c r="D540" s="4"/>
    </row>
    <row r="541" spans="4:4" x14ac:dyDescent="0.2">
      <c r="D541" s="4"/>
    </row>
    <row r="542" spans="4:4" x14ac:dyDescent="0.2">
      <c r="D542" s="4"/>
    </row>
    <row r="543" spans="4:4" x14ac:dyDescent="0.2">
      <c r="D543" s="4"/>
    </row>
    <row r="544" spans="4:4" x14ac:dyDescent="0.2">
      <c r="D544" s="4"/>
    </row>
    <row r="545" spans="4:4" x14ac:dyDescent="0.2">
      <c r="D545" s="4"/>
    </row>
    <row r="546" spans="4:4" x14ac:dyDescent="0.2">
      <c r="D546" s="4"/>
    </row>
    <row r="547" spans="4:4" x14ac:dyDescent="0.2">
      <c r="D547" s="4"/>
    </row>
    <row r="548" spans="4:4" x14ac:dyDescent="0.2">
      <c r="D548" s="4"/>
    </row>
    <row r="549" spans="4:4" x14ac:dyDescent="0.2">
      <c r="D549" s="4"/>
    </row>
    <row r="550" spans="4:4" x14ac:dyDescent="0.2">
      <c r="D550" s="4"/>
    </row>
    <row r="551" spans="4:4" x14ac:dyDescent="0.2">
      <c r="D551" s="4"/>
    </row>
    <row r="552" spans="4:4" x14ac:dyDescent="0.2">
      <c r="D552" s="4"/>
    </row>
    <row r="553" spans="4:4" x14ac:dyDescent="0.2">
      <c r="D553" s="4"/>
    </row>
    <row r="554" spans="4:4" x14ac:dyDescent="0.2">
      <c r="D554" s="4"/>
    </row>
    <row r="555" spans="4:4" x14ac:dyDescent="0.2">
      <c r="D555" s="4"/>
    </row>
    <row r="556" spans="4:4" x14ac:dyDescent="0.2">
      <c r="D556" s="4"/>
    </row>
    <row r="557" spans="4:4" x14ac:dyDescent="0.2">
      <c r="D557" s="4"/>
    </row>
    <row r="558" spans="4:4" x14ac:dyDescent="0.2">
      <c r="D558" s="4"/>
    </row>
    <row r="559" spans="4:4" x14ac:dyDescent="0.2">
      <c r="D559" s="4"/>
    </row>
    <row r="560" spans="4:4" x14ac:dyDescent="0.2">
      <c r="D560" s="4"/>
    </row>
    <row r="561" spans="4:4" x14ac:dyDescent="0.2">
      <c r="D561" s="4"/>
    </row>
    <row r="562" spans="4:4" x14ac:dyDescent="0.2">
      <c r="D562" s="4"/>
    </row>
    <row r="563" spans="4:4" x14ac:dyDescent="0.2">
      <c r="D563" s="4"/>
    </row>
    <row r="564" spans="4:4" x14ac:dyDescent="0.2">
      <c r="D564" s="4"/>
    </row>
    <row r="565" spans="4:4" x14ac:dyDescent="0.2">
      <c r="D565" s="4"/>
    </row>
    <row r="566" spans="4:4" x14ac:dyDescent="0.2">
      <c r="D566" s="4"/>
    </row>
    <row r="567" spans="4:4" x14ac:dyDescent="0.2">
      <c r="D567" s="4"/>
    </row>
    <row r="568" spans="4:4" x14ac:dyDescent="0.2">
      <c r="D568" s="4"/>
    </row>
    <row r="569" spans="4:4" x14ac:dyDescent="0.2">
      <c r="D569" s="4"/>
    </row>
    <row r="570" spans="4:4" x14ac:dyDescent="0.2">
      <c r="D570" s="4"/>
    </row>
    <row r="571" spans="4:4" x14ac:dyDescent="0.2">
      <c r="D571" s="4"/>
    </row>
    <row r="572" spans="4:4" x14ac:dyDescent="0.2">
      <c r="D572" s="4"/>
    </row>
    <row r="573" spans="4:4" x14ac:dyDescent="0.2">
      <c r="D573" s="4"/>
    </row>
    <row r="574" spans="4:4" x14ac:dyDescent="0.2">
      <c r="D574" s="4"/>
    </row>
    <row r="575" spans="4:4" x14ac:dyDescent="0.2">
      <c r="D575" s="4"/>
    </row>
    <row r="576" spans="4:4" x14ac:dyDescent="0.2">
      <c r="D576" s="4"/>
    </row>
    <row r="577" spans="4:4" x14ac:dyDescent="0.2">
      <c r="D577" s="4"/>
    </row>
    <row r="578" spans="4:4" x14ac:dyDescent="0.2">
      <c r="D578" s="4"/>
    </row>
    <row r="579" spans="4:4" x14ac:dyDescent="0.2">
      <c r="D579" s="4"/>
    </row>
    <row r="580" spans="4:4" x14ac:dyDescent="0.2">
      <c r="D580" s="4"/>
    </row>
    <row r="581" spans="4:4" x14ac:dyDescent="0.2">
      <c r="D581" s="4"/>
    </row>
    <row r="582" spans="4:4" x14ac:dyDescent="0.2">
      <c r="D582" s="4"/>
    </row>
    <row r="583" spans="4:4" x14ac:dyDescent="0.2">
      <c r="D583" s="4"/>
    </row>
    <row r="584" spans="4:4" x14ac:dyDescent="0.2">
      <c r="D584" s="4"/>
    </row>
    <row r="585" spans="4:4" x14ac:dyDescent="0.2">
      <c r="D585" s="4"/>
    </row>
    <row r="586" spans="4:4" x14ac:dyDescent="0.2">
      <c r="D586" s="4"/>
    </row>
    <row r="587" spans="4:4" x14ac:dyDescent="0.2">
      <c r="D587" s="4"/>
    </row>
    <row r="588" spans="4:4" x14ac:dyDescent="0.2">
      <c r="D588" s="4"/>
    </row>
    <row r="589" spans="4:4" x14ac:dyDescent="0.2">
      <c r="D589" s="4"/>
    </row>
    <row r="590" spans="4:4" x14ac:dyDescent="0.2">
      <c r="D590" s="4"/>
    </row>
    <row r="591" spans="4:4" x14ac:dyDescent="0.2">
      <c r="D591" s="4"/>
    </row>
    <row r="592" spans="4:4" x14ac:dyDescent="0.2">
      <c r="D592" s="4"/>
    </row>
    <row r="593" spans="4:4" x14ac:dyDescent="0.2">
      <c r="D593" s="4"/>
    </row>
    <row r="594" spans="4:4" x14ac:dyDescent="0.2">
      <c r="D594" s="4"/>
    </row>
    <row r="595" spans="4:4" x14ac:dyDescent="0.2">
      <c r="D595" s="4"/>
    </row>
    <row r="596" spans="4:4" x14ac:dyDescent="0.2">
      <c r="D596" s="4"/>
    </row>
    <row r="597" spans="4:4" x14ac:dyDescent="0.2">
      <c r="D597" s="4"/>
    </row>
    <row r="598" spans="4:4" x14ac:dyDescent="0.2">
      <c r="D598" s="4"/>
    </row>
    <row r="599" spans="4:4" x14ac:dyDescent="0.2">
      <c r="D599" s="4"/>
    </row>
    <row r="600" spans="4:4" x14ac:dyDescent="0.2">
      <c r="D600" s="4"/>
    </row>
    <row r="601" spans="4:4" x14ac:dyDescent="0.2">
      <c r="D601" s="4"/>
    </row>
    <row r="602" spans="4:4" x14ac:dyDescent="0.2">
      <c r="D602" s="4"/>
    </row>
    <row r="603" spans="4:4" x14ac:dyDescent="0.2">
      <c r="D603" s="4"/>
    </row>
    <row r="604" spans="4:4" x14ac:dyDescent="0.2">
      <c r="D604" s="4"/>
    </row>
    <row r="605" spans="4:4" x14ac:dyDescent="0.2">
      <c r="D605" s="4"/>
    </row>
    <row r="606" spans="4:4" x14ac:dyDescent="0.2">
      <c r="D606" s="4"/>
    </row>
    <row r="607" spans="4:4" x14ac:dyDescent="0.2">
      <c r="D607" s="4"/>
    </row>
    <row r="608" spans="4:4" x14ac:dyDescent="0.2">
      <c r="D608" s="4"/>
    </row>
    <row r="609" spans="4:4" x14ac:dyDescent="0.2">
      <c r="D609" s="4"/>
    </row>
    <row r="610" spans="4:4" x14ac:dyDescent="0.2">
      <c r="D610" s="4"/>
    </row>
    <row r="611" spans="4:4" x14ac:dyDescent="0.2">
      <c r="D611" s="4"/>
    </row>
    <row r="612" spans="4:4" x14ac:dyDescent="0.2">
      <c r="D612" s="4"/>
    </row>
    <row r="613" spans="4:4" x14ac:dyDescent="0.2">
      <c r="D613" s="4"/>
    </row>
    <row r="614" spans="4:4" x14ac:dyDescent="0.2">
      <c r="D614" s="4"/>
    </row>
    <row r="615" spans="4:4" x14ac:dyDescent="0.2">
      <c r="D615" s="4"/>
    </row>
  </sheetData>
  <pageMargins left="0.7" right="0.7" top="0.75" bottom="0.75" header="0.3" footer="0.3"/>
  <pageSetup scale="58" orientation="landscape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E362B-9FD4-4B50-AE51-7223BBB43001}">
  <sheetPr>
    <pageSetUpPr fitToPage="1"/>
  </sheetPr>
  <dimension ref="A1:R302"/>
  <sheetViews>
    <sheetView zoomScale="115" zoomScaleNormal="115" workbookViewId="0">
      <selection activeCell="G17" sqref="G17"/>
    </sheetView>
  </sheetViews>
  <sheetFormatPr defaultColWidth="9.125" defaultRowHeight="14.3" x14ac:dyDescent="0.25"/>
  <cols>
    <col min="1" max="1" width="12.25" style="20" customWidth="1"/>
    <col min="2" max="2" width="25.125" bestFit="1" customWidth="1"/>
    <col min="3" max="3" width="21.125" customWidth="1"/>
    <col min="4" max="4" width="4" style="4" customWidth="1"/>
    <col min="5" max="5" width="12.75" style="4" customWidth="1"/>
    <col min="6" max="6" width="12.125" style="4" bestFit="1" customWidth="1"/>
    <col min="7" max="7" width="11" style="4" customWidth="1"/>
    <col min="8" max="256" width="9.125" style="4"/>
    <col min="257" max="257" width="12.75" style="4" customWidth="1"/>
    <col min="258" max="258" width="32.75" style="4" customWidth="1"/>
    <col min="259" max="259" width="52.75" style="4" customWidth="1"/>
    <col min="260" max="260" width="4" style="4" customWidth="1"/>
    <col min="261" max="261" width="12.75" style="4" customWidth="1"/>
    <col min="262" max="262" width="32.75" style="4" customWidth="1"/>
    <col min="263" max="263" width="52.75" style="4" customWidth="1"/>
    <col min="264" max="512" width="9.125" style="4"/>
    <col min="513" max="513" width="12.75" style="4" customWidth="1"/>
    <col min="514" max="514" width="32.75" style="4" customWidth="1"/>
    <col min="515" max="515" width="52.75" style="4" customWidth="1"/>
    <col min="516" max="516" width="4" style="4" customWidth="1"/>
    <col min="517" max="517" width="12.75" style="4" customWidth="1"/>
    <col min="518" max="518" width="32.75" style="4" customWidth="1"/>
    <col min="519" max="519" width="52.75" style="4" customWidth="1"/>
    <col min="520" max="768" width="9.125" style="4"/>
    <col min="769" max="769" width="12.75" style="4" customWidth="1"/>
    <col min="770" max="770" width="32.75" style="4" customWidth="1"/>
    <col min="771" max="771" width="52.75" style="4" customWidth="1"/>
    <col min="772" max="772" width="4" style="4" customWidth="1"/>
    <col min="773" max="773" width="12.75" style="4" customWidth="1"/>
    <col min="774" max="774" width="32.75" style="4" customWidth="1"/>
    <col min="775" max="775" width="52.75" style="4" customWidth="1"/>
    <col min="776" max="1024" width="9.125" style="4"/>
    <col min="1025" max="1025" width="12.75" style="4" customWidth="1"/>
    <col min="1026" max="1026" width="32.75" style="4" customWidth="1"/>
    <col min="1027" max="1027" width="52.75" style="4" customWidth="1"/>
    <col min="1028" max="1028" width="4" style="4" customWidth="1"/>
    <col min="1029" max="1029" width="12.75" style="4" customWidth="1"/>
    <col min="1030" max="1030" width="32.75" style="4" customWidth="1"/>
    <col min="1031" max="1031" width="52.75" style="4" customWidth="1"/>
    <col min="1032" max="1280" width="9.125" style="4"/>
    <col min="1281" max="1281" width="12.75" style="4" customWidth="1"/>
    <col min="1282" max="1282" width="32.75" style="4" customWidth="1"/>
    <col min="1283" max="1283" width="52.75" style="4" customWidth="1"/>
    <col min="1284" max="1284" width="4" style="4" customWidth="1"/>
    <col min="1285" max="1285" width="12.75" style="4" customWidth="1"/>
    <col min="1286" max="1286" width="32.75" style="4" customWidth="1"/>
    <col min="1287" max="1287" width="52.75" style="4" customWidth="1"/>
    <col min="1288" max="1536" width="9.125" style="4"/>
    <col min="1537" max="1537" width="12.75" style="4" customWidth="1"/>
    <col min="1538" max="1538" width="32.75" style="4" customWidth="1"/>
    <col min="1539" max="1539" width="52.75" style="4" customWidth="1"/>
    <col min="1540" max="1540" width="4" style="4" customWidth="1"/>
    <col min="1541" max="1541" width="12.75" style="4" customWidth="1"/>
    <col min="1542" max="1542" width="32.75" style="4" customWidth="1"/>
    <col min="1543" max="1543" width="52.75" style="4" customWidth="1"/>
    <col min="1544" max="1792" width="9.125" style="4"/>
    <col min="1793" max="1793" width="12.75" style="4" customWidth="1"/>
    <col min="1794" max="1794" width="32.75" style="4" customWidth="1"/>
    <col min="1795" max="1795" width="52.75" style="4" customWidth="1"/>
    <col min="1796" max="1796" width="4" style="4" customWidth="1"/>
    <col min="1797" max="1797" width="12.75" style="4" customWidth="1"/>
    <col min="1798" max="1798" width="32.75" style="4" customWidth="1"/>
    <col min="1799" max="1799" width="52.75" style="4" customWidth="1"/>
    <col min="1800" max="2048" width="9.125" style="4"/>
    <col min="2049" max="2049" width="12.75" style="4" customWidth="1"/>
    <col min="2050" max="2050" width="32.75" style="4" customWidth="1"/>
    <col min="2051" max="2051" width="52.75" style="4" customWidth="1"/>
    <col min="2052" max="2052" width="4" style="4" customWidth="1"/>
    <col min="2053" max="2053" width="12.75" style="4" customWidth="1"/>
    <col min="2054" max="2054" width="32.75" style="4" customWidth="1"/>
    <col min="2055" max="2055" width="52.75" style="4" customWidth="1"/>
    <col min="2056" max="2304" width="9.125" style="4"/>
    <col min="2305" max="2305" width="12.75" style="4" customWidth="1"/>
    <col min="2306" max="2306" width="32.75" style="4" customWidth="1"/>
    <col min="2307" max="2307" width="52.75" style="4" customWidth="1"/>
    <col min="2308" max="2308" width="4" style="4" customWidth="1"/>
    <col min="2309" max="2309" width="12.75" style="4" customWidth="1"/>
    <col min="2310" max="2310" width="32.75" style="4" customWidth="1"/>
    <col min="2311" max="2311" width="52.75" style="4" customWidth="1"/>
    <col min="2312" max="2560" width="9.125" style="4"/>
    <col min="2561" max="2561" width="12.75" style="4" customWidth="1"/>
    <col min="2562" max="2562" width="32.75" style="4" customWidth="1"/>
    <col min="2563" max="2563" width="52.75" style="4" customWidth="1"/>
    <col min="2564" max="2564" width="4" style="4" customWidth="1"/>
    <col min="2565" max="2565" width="12.75" style="4" customWidth="1"/>
    <col min="2566" max="2566" width="32.75" style="4" customWidth="1"/>
    <col min="2567" max="2567" width="52.75" style="4" customWidth="1"/>
    <col min="2568" max="2816" width="9.125" style="4"/>
    <col min="2817" max="2817" width="12.75" style="4" customWidth="1"/>
    <col min="2818" max="2818" width="32.75" style="4" customWidth="1"/>
    <col min="2819" max="2819" width="52.75" style="4" customWidth="1"/>
    <col min="2820" max="2820" width="4" style="4" customWidth="1"/>
    <col min="2821" max="2821" width="12.75" style="4" customWidth="1"/>
    <col min="2822" max="2822" width="32.75" style="4" customWidth="1"/>
    <col min="2823" max="2823" width="52.75" style="4" customWidth="1"/>
    <col min="2824" max="3072" width="9.125" style="4"/>
    <col min="3073" max="3073" width="12.75" style="4" customWidth="1"/>
    <col min="3074" max="3074" width="32.75" style="4" customWidth="1"/>
    <col min="3075" max="3075" width="52.75" style="4" customWidth="1"/>
    <col min="3076" max="3076" width="4" style="4" customWidth="1"/>
    <col min="3077" max="3077" width="12.75" style="4" customWidth="1"/>
    <col min="3078" max="3078" width="32.75" style="4" customWidth="1"/>
    <col min="3079" max="3079" width="52.75" style="4" customWidth="1"/>
    <col min="3080" max="3328" width="9.125" style="4"/>
    <col min="3329" max="3329" width="12.75" style="4" customWidth="1"/>
    <col min="3330" max="3330" width="32.75" style="4" customWidth="1"/>
    <col min="3331" max="3331" width="52.75" style="4" customWidth="1"/>
    <col min="3332" max="3332" width="4" style="4" customWidth="1"/>
    <col min="3333" max="3333" width="12.75" style="4" customWidth="1"/>
    <col min="3334" max="3334" width="32.75" style="4" customWidth="1"/>
    <col min="3335" max="3335" width="52.75" style="4" customWidth="1"/>
    <col min="3336" max="3584" width="9.125" style="4"/>
    <col min="3585" max="3585" width="12.75" style="4" customWidth="1"/>
    <col min="3586" max="3586" width="32.75" style="4" customWidth="1"/>
    <col min="3587" max="3587" width="52.75" style="4" customWidth="1"/>
    <col min="3588" max="3588" width="4" style="4" customWidth="1"/>
    <col min="3589" max="3589" width="12.75" style="4" customWidth="1"/>
    <col min="3590" max="3590" width="32.75" style="4" customWidth="1"/>
    <col min="3591" max="3591" width="52.75" style="4" customWidth="1"/>
    <col min="3592" max="3840" width="9.125" style="4"/>
    <col min="3841" max="3841" width="12.75" style="4" customWidth="1"/>
    <col min="3842" max="3842" width="32.75" style="4" customWidth="1"/>
    <col min="3843" max="3843" width="52.75" style="4" customWidth="1"/>
    <col min="3844" max="3844" width="4" style="4" customWidth="1"/>
    <col min="3845" max="3845" width="12.75" style="4" customWidth="1"/>
    <col min="3846" max="3846" width="32.75" style="4" customWidth="1"/>
    <col min="3847" max="3847" width="52.75" style="4" customWidth="1"/>
    <col min="3848" max="4096" width="9.125" style="4"/>
    <col min="4097" max="4097" width="12.75" style="4" customWidth="1"/>
    <col min="4098" max="4098" width="32.75" style="4" customWidth="1"/>
    <col min="4099" max="4099" width="52.75" style="4" customWidth="1"/>
    <col min="4100" max="4100" width="4" style="4" customWidth="1"/>
    <col min="4101" max="4101" width="12.75" style="4" customWidth="1"/>
    <col min="4102" max="4102" width="32.75" style="4" customWidth="1"/>
    <col min="4103" max="4103" width="52.75" style="4" customWidth="1"/>
    <col min="4104" max="4352" width="9.125" style="4"/>
    <col min="4353" max="4353" width="12.75" style="4" customWidth="1"/>
    <col min="4354" max="4354" width="32.75" style="4" customWidth="1"/>
    <col min="4355" max="4355" width="52.75" style="4" customWidth="1"/>
    <col min="4356" max="4356" width="4" style="4" customWidth="1"/>
    <col min="4357" max="4357" width="12.75" style="4" customWidth="1"/>
    <col min="4358" max="4358" width="32.75" style="4" customWidth="1"/>
    <col min="4359" max="4359" width="52.75" style="4" customWidth="1"/>
    <col min="4360" max="4608" width="9.125" style="4"/>
    <col min="4609" max="4609" width="12.75" style="4" customWidth="1"/>
    <col min="4610" max="4610" width="32.75" style="4" customWidth="1"/>
    <col min="4611" max="4611" width="52.75" style="4" customWidth="1"/>
    <col min="4612" max="4612" width="4" style="4" customWidth="1"/>
    <col min="4613" max="4613" width="12.75" style="4" customWidth="1"/>
    <col min="4614" max="4614" width="32.75" style="4" customWidth="1"/>
    <col min="4615" max="4615" width="52.75" style="4" customWidth="1"/>
    <col min="4616" max="4864" width="9.125" style="4"/>
    <col min="4865" max="4865" width="12.75" style="4" customWidth="1"/>
    <col min="4866" max="4866" width="32.75" style="4" customWidth="1"/>
    <col min="4867" max="4867" width="52.75" style="4" customWidth="1"/>
    <col min="4868" max="4868" width="4" style="4" customWidth="1"/>
    <col min="4869" max="4869" width="12.75" style="4" customWidth="1"/>
    <col min="4870" max="4870" width="32.75" style="4" customWidth="1"/>
    <col min="4871" max="4871" width="52.75" style="4" customWidth="1"/>
    <col min="4872" max="5120" width="9.125" style="4"/>
    <col min="5121" max="5121" width="12.75" style="4" customWidth="1"/>
    <col min="5122" max="5122" width="32.75" style="4" customWidth="1"/>
    <col min="5123" max="5123" width="52.75" style="4" customWidth="1"/>
    <col min="5124" max="5124" width="4" style="4" customWidth="1"/>
    <col min="5125" max="5125" width="12.75" style="4" customWidth="1"/>
    <col min="5126" max="5126" width="32.75" style="4" customWidth="1"/>
    <col min="5127" max="5127" width="52.75" style="4" customWidth="1"/>
    <col min="5128" max="5376" width="9.125" style="4"/>
    <col min="5377" max="5377" width="12.75" style="4" customWidth="1"/>
    <col min="5378" max="5378" width="32.75" style="4" customWidth="1"/>
    <col min="5379" max="5379" width="52.75" style="4" customWidth="1"/>
    <col min="5380" max="5380" width="4" style="4" customWidth="1"/>
    <col min="5381" max="5381" width="12.75" style="4" customWidth="1"/>
    <col min="5382" max="5382" width="32.75" style="4" customWidth="1"/>
    <col min="5383" max="5383" width="52.75" style="4" customWidth="1"/>
    <col min="5384" max="5632" width="9.125" style="4"/>
    <col min="5633" max="5633" width="12.75" style="4" customWidth="1"/>
    <col min="5634" max="5634" width="32.75" style="4" customWidth="1"/>
    <col min="5635" max="5635" width="52.75" style="4" customWidth="1"/>
    <col min="5636" max="5636" width="4" style="4" customWidth="1"/>
    <col min="5637" max="5637" width="12.75" style="4" customWidth="1"/>
    <col min="5638" max="5638" width="32.75" style="4" customWidth="1"/>
    <col min="5639" max="5639" width="52.75" style="4" customWidth="1"/>
    <col min="5640" max="5888" width="9.125" style="4"/>
    <col min="5889" max="5889" width="12.75" style="4" customWidth="1"/>
    <col min="5890" max="5890" width="32.75" style="4" customWidth="1"/>
    <col min="5891" max="5891" width="52.75" style="4" customWidth="1"/>
    <col min="5892" max="5892" width="4" style="4" customWidth="1"/>
    <col min="5893" max="5893" width="12.75" style="4" customWidth="1"/>
    <col min="5894" max="5894" width="32.75" style="4" customWidth="1"/>
    <col min="5895" max="5895" width="52.75" style="4" customWidth="1"/>
    <col min="5896" max="6144" width="9.125" style="4"/>
    <col min="6145" max="6145" width="12.75" style="4" customWidth="1"/>
    <col min="6146" max="6146" width="32.75" style="4" customWidth="1"/>
    <col min="6147" max="6147" width="52.75" style="4" customWidth="1"/>
    <col min="6148" max="6148" width="4" style="4" customWidth="1"/>
    <col min="6149" max="6149" width="12.75" style="4" customWidth="1"/>
    <col min="6150" max="6150" width="32.75" style="4" customWidth="1"/>
    <col min="6151" max="6151" width="52.75" style="4" customWidth="1"/>
    <col min="6152" max="6400" width="9.125" style="4"/>
    <col min="6401" max="6401" width="12.75" style="4" customWidth="1"/>
    <col min="6402" max="6402" width="32.75" style="4" customWidth="1"/>
    <col min="6403" max="6403" width="52.75" style="4" customWidth="1"/>
    <col min="6404" max="6404" width="4" style="4" customWidth="1"/>
    <col min="6405" max="6405" width="12.75" style="4" customWidth="1"/>
    <col min="6406" max="6406" width="32.75" style="4" customWidth="1"/>
    <col min="6407" max="6407" width="52.75" style="4" customWidth="1"/>
    <col min="6408" max="6656" width="9.125" style="4"/>
    <col min="6657" max="6657" width="12.75" style="4" customWidth="1"/>
    <col min="6658" max="6658" width="32.75" style="4" customWidth="1"/>
    <col min="6659" max="6659" width="52.75" style="4" customWidth="1"/>
    <col min="6660" max="6660" width="4" style="4" customWidth="1"/>
    <col min="6661" max="6661" width="12.75" style="4" customWidth="1"/>
    <col min="6662" max="6662" width="32.75" style="4" customWidth="1"/>
    <col min="6663" max="6663" width="52.75" style="4" customWidth="1"/>
    <col min="6664" max="6912" width="9.125" style="4"/>
    <col min="6913" max="6913" width="12.75" style="4" customWidth="1"/>
    <col min="6914" max="6914" width="32.75" style="4" customWidth="1"/>
    <col min="6915" max="6915" width="52.75" style="4" customWidth="1"/>
    <col min="6916" max="6916" width="4" style="4" customWidth="1"/>
    <col min="6917" max="6917" width="12.75" style="4" customWidth="1"/>
    <col min="6918" max="6918" width="32.75" style="4" customWidth="1"/>
    <col min="6919" max="6919" width="52.75" style="4" customWidth="1"/>
    <col min="6920" max="7168" width="9.125" style="4"/>
    <col min="7169" max="7169" width="12.75" style="4" customWidth="1"/>
    <col min="7170" max="7170" width="32.75" style="4" customWidth="1"/>
    <col min="7171" max="7171" width="52.75" style="4" customWidth="1"/>
    <col min="7172" max="7172" width="4" style="4" customWidth="1"/>
    <col min="7173" max="7173" width="12.75" style="4" customWidth="1"/>
    <col min="7174" max="7174" width="32.75" style="4" customWidth="1"/>
    <col min="7175" max="7175" width="52.75" style="4" customWidth="1"/>
    <col min="7176" max="7424" width="9.125" style="4"/>
    <col min="7425" max="7425" width="12.75" style="4" customWidth="1"/>
    <col min="7426" max="7426" width="32.75" style="4" customWidth="1"/>
    <col min="7427" max="7427" width="52.75" style="4" customWidth="1"/>
    <col min="7428" max="7428" width="4" style="4" customWidth="1"/>
    <col min="7429" max="7429" width="12.75" style="4" customWidth="1"/>
    <col min="7430" max="7430" width="32.75" style="4" customWidth="1"/>
    <col min="7431" max="7431" width="52.75" style="4" customWidth="1"/>
    <col min="7432" max="7680" width="9.125" style="4"/>
    <col min="7681" max="7681" width="12.75" style="4" customWidth="1"/>
    <col min="7682" max="7682" width="32.75" style="4" customWidth="1"/>
    <col min="7683" max="7683" width="52.75" style="4" customWidth="1"/>
    <col min="7684" max="7684" width="4" style="4" customWidth="1"/>
    <col min="7685" max="7685" width="12.75" style="4" customWidth="1"/>
    <col min="7686" max="7686" width="32.75" style="4" customWidth="1"/>
    <col min="7687" max="7687" width="52.75" style="4" customWidth="1"/>
    <col min="7688" max="7936" width="9.125" style="4"/>
    <col min="7937" max="7937" width="12.75" style="4" customWidth="1"/>
    <col min="7938" max="7938" width="32.75" style="4" customWidth="1"/>
    <col min="7939" max="7939" width="52.75" style="4" customWidth="1"/>
    <col min="7940" max="7940" width="4" style="4" customWidth="1"/>
    <col min="7941" max="7941" width="12.75" style="4" customWidth="1"/>
    <col min="7942" max="7942" width="32.75" style="4" customWidth="1"/>
    <col min="7943" max="7943" width="52.75" style="4" customWidth="1"/>
    <col min="7944" max="8192" width="9.125" style="4"/>
    <col min="8193" max="8193" width="12.75" style="4" customWidth="1"/>
    <col min="8194" max="8194" width="32.75" style="4" customWidth="1"/>
    <col min="8195" max="8195" width="52.75" style="4" customWidth="1"/>
    <col min="8196" max="8196" width="4" style="4" customWidth="1"/>
    <col min="8197" max="8197" width="12.75" style="4" customWidth="1"/>
    <col min="8198" max="8198" width="32.75" style="4" customWidth="1"/>
    <col min="8199" max="8199" width="52.75" style="4" customWidth="1"/>
    <col min="8200" max="8448" width="9.125" style="4"/>
    <col min="8449" max="8449" width="12.75" style="4" customWidth="1"/>
    <col min="8450" max="8450" width="32.75" style="4" customWidth="1"/>
    <col min="8451" max="8451" width="52.75" style="4" customWidth="1"/>
    <col min="8452" max="8452" width="4" style="4" customWidth="1"/>
    <col min="8453" max="8453" width="12.75" style="4" customWidth="1"/>
    <col min="8454" max="8454" width="32.75" style="4" customWidth="1"/>
    <col min="8455" max="8455" width="52.75" style="4" customWidth="1"/>
    <col min="8456" max="8704" width="9.125" style="4"/>
    <col min="8705" max="8705" width="12.75" style="4" customWidth="1"/>
    <col min="8706" max="8706" width="32.75" style="4" customWidth="1"/>
    <col min="8707" max="8707" width="52.75" style="4" customWidth="1"/>
    <col min="8708" max="8708" width="4" style="4" customWidth="1"/>
    <col min="8709" max="8709" width="12.75" style="4" customWidth="1"/>
    <col min="8710" max="8710" width="32.75" style="4" customWidth="1"/>
    <col min="8711" max="8711" width="52.75" style="4" customWidth="1"/>
    <col min="8712" max="8960" width="9.125" style="4"/>
    <col min="8961" max="8961" width="12.75" style="4" customWidth="1"/>
    <col min="8962" max="8962" width="32.75" style="4" customWidth="1"/>
    <col min="8963" max="8963" width="52.75" style="4" customWidth="1"/>
    <col min="8964" max="8964" width="4" style="4" customWidth="1"/>
    <col min="8965" max="8965" width="12.75" style="4" customWidth="1"/>
    <col min="8966" max="8966" width="32.75" style="4" customWidth="1"/>
    <col min="8967" max="8967" width="52.75" style="4" customWidth="1"/>
    <col min="8968" max="9216" width="9.125" style="4"/>
    <col min="9217" max="9217" width="12.75" style="4" customWidth="1"/>
    <col min="9218" max="9218" width="32.75" style="4" customWidth="1"/>
    <col min="9219" max="9219" width="52.75" style="4" customWidth="1"/>
    <col min="9220" max="9220" width="4" style="4" customWidth="1"/>
    <col min="9221" max="9221" width="12.75" style="4" customWidth="1"/>
    <col min="9222" max="9222" width="32.75" style="4" customWidth="1"/>
    <col min="9223" max="9223" width="52.75" style="4" customWidth="1"/>
    <col min="9224" max="9472" width="9.125" style="4"/>
    <col min="9473" max="9473" width="12.75" style="4" customWidth="1"/>
    <col min="9474" max="9474" width="32.75" style="4" customWidth="1"/>
    <col min="9475" max="9475" width="52.75" style="4" customWidth="1"/>
    <col min="9476" max="9476" width="4" style="4" customWidth="1"/>
    <col min="9477" max="9477" width="12.75" style="4" customWidth="1"/>
    <col min="9478" max="9478" width="32.75" style="4" customWidth="1"/>
    <col min="9479" max="9479" width="52.75" style="4" customWidth="1"/>
    <col min="9480" max="9728" width="9.125" style="4"/>
    <col min="9729" max="9729" width="12.75" style="4" customWidth="1"/>
    <col min="9730" max="9730" width="32.75" style="4" customWidth="1"/>
    <col min="9731" max="9731" width="52.75" style="4" customWidth="1"/>
    <col min="9732" max="9732" width="4" style="4" customWidth="1"/>
    <col min="9733" max="9733" width="12.75" style="4" customWidth="1"/>
    <col min="9734" max="9734" width="32.75" style="4" customWidth="1"/>
    <col min="9735" max="9735" width="52.75" style="4" customWidth="1"/>
    <col min="9736" max="9984" width="9.125" style="4"/>
    <col min="9985" max="9985" width="12.75" style="4" customWidth="1"/>
    <col min="9986" max="9986" width="32.75" style="4" customWidth="1"/>
    <col min="9987" max="9987" width="52.75" style="4" customWidth="1"/>
    <col min="9988" max="9988" width="4" style="4" customWidth="1"/>
    <col min="9989" max="9989" width="12.75" style="4" customWidth="1"/>
    <col min="9990" max="9990" width="32.75" style="4" customWidth="1"/>
    <col min="9991" max="9991" width="52.75" style="4" customWidth="1"/>
    <col min="9992" max="10240" width="9.125" style="4"/>
    <col min="10241" max="10241" width="12.75" style="4" customWidth="1"/>
    <col min="10242" max="10242" width="32.75" style="4" customWidth="1"/>
    <col min="10243" max="10243" width="52.75" style="4" customWidth="1"/>
    <col min="10244" max="10244" width="4" style="4" customWidth="1"/>
    <col min="10245" max="10245" width="12.75" style="4" customWidth="1"/>
    <col min="10246" max="10246" width="32.75" style="4" customWidth="1"/>
    <col min="10247" max="10247" width="52.75" style="4" customWidth="1"/>
    <col min="10248" max="10496" width="9.125" style="4"/>
    <col min="10497" max="10497" width="12.75" style="4" customWidth="1"/>
    <col min="10498" max="10498" width="32.75" style="4" customWidth="1"/>
    <col min="10499" max="10499" width="52.75" style="4" customWidth="1"/>
    <col min="10500" max="10500" width="4" style="4" customWidth="1"/>
    <col min="10501" max="10501" width="12.75" style="4" customWidth="1"/>
    <col min="10502" max="10502" width="32.75" style="4" customWidth="1"/>
    <col min="10503" max="10503" width="52.75" style="4" customWidth="1"/>
    <col min="10504" max="10752" width="9.125" style="4"/>
    <col min="10753" max="10753" width="12.75" style="4" customWidth="1"/>
    <col min="10754" max="10754" width="32.75" style="4" customWidth="1"/>
    <col min="10755" max="10755" width="52.75" style="4" customWidth="1"/>
    <col min="10756" max="10756" width="4" style="4" customWidth="1"/>
    <col min="10757" max="10757" width="12.75" style="4" customWidth="1"/>
    <col min="10758" max="10758" width="32.75" style="4" customWidth="1"/>
    <col min="10759" max="10759" width="52.75" style="4" customWidth="1"/>
    <col min="10760" max="11008" width="9.125" style="4"/>
    <col min="11009" max="11009" width="12.75" style="4" customWidth="1"/>
    <col min="11010" max="11010" width="32.75" style="4" customWidth="1"/>
    <col min="11011" max="11011" width="52.75" style="4" customWidth="1"/>
    <col min="11012" max="11012" width="4" style="4" customWidth="1"/>
    <col min="11013" max="11013" width="12.75" style="4" customWidth="1"/>
    <col min="11014" max="11014" width="32.75" style="4" customWidth="1"/>
    <col min="11015" max="11015" width="52.75" style="4" customWidth="1"/>
    <col min="11016" max="11264" width="9.125" style="4"/>
    <col min="11265" max="11265" width="12.75" style="4" customWidth="1"/>
    <col min="11266" max="11266" width="32.75" style="4" customWidth="1"/>
    <col min="11267" max="11267" width="52.75" style="4" customWidth="1"/>
    <col min="11268" max="11268" width="4" style="4" customWidth="1"/>
    <col min="11269" max="11269" width="12.75" style="4" customWidth="1"/>
    <col min="11270" max="11270" width="32.75" style="4" customWidth="1"/>
    <col min="11271" max="11271" width="52.75" style="4" customWidth="1"/>
    <col min="11272" max="11520" width="9.125" style="4"/>
    <col min="11521" max="11521" width="12.75" style="4" customWidth="1"/>
    <col min="11522" max="11522" width="32.75" style="4" customWidth="1"/>
    <col min="11523" max="11523" width="52.75" style="4" customWidth="1"/>
    <col min="11524" max="11524" width="4" style="4" customWidth="1"/>
    <col min="11525" max="11525" width="12.75" style="4" customWidth="1"/>
    <col min="11526" max="11526" width="32.75" style="4" customWidth="1"/>
    <col min="11527" max="11527" width="52.75" style="4" customWidth="1"/>
    <col min="11528" max="11776" width="9.125" style="4"/>
    <col min="11777" max="11777" width="12.75" style="4" customWidth="1"/>
    <col min="11778" max="11778" width="32.75" style="4" customWidth="1"/>
    <col min="11779" max="11779" width="52.75" style="4" customWidth="1"/>
    <col min="11780" max="11780" width="4" style="4" customWidth="1"/>
    <col min="11781" max="11781" width="12.75" style="4" customWidth="1"/>
    <col min="11782" max="11782" width="32.75" style="4" customWidth="1"/>
    <col min="11783" max="11783" width="52.75" style="4" customWidth="1"/>
    <col min="11784" max="12032" width="9.125" style="4"/>
    <col min="12033" max="12033" width="12.75" style="4" customWidth="1"/>
    <col min="12034" max="12034" width="32.75" style="4" customWidth="1"/>
    <col min="12035" max="12035" width="52.75" style="4" customWidth="1"/>
    <col min="12036" max="12036" width="4" style="4" customWidth="1"/>
    <col min="12037" max="12037" width="12.75" style="4" customWidth="1"/>
    <col min="12038" max="12038" width="32.75" style="4" customWidth="1"/>
    <col min="12039" max="12039" width="52.75" style="4" customWidth="1"/>
    <col min="12040" max="12288" width="9.125" style="4"/>
    <col min="12289" max="12289" width="12.75" style="4" customWidth="1"/>
    <col min="12290" max="12290" width="32.75" style="4" customWidth="1"/>
    <col min="12291" max="12291" width="52.75" style="4" customWidth="1"/>
    <col min="12292" max="12292" width="4" style="4" customWidth="1"/>
    <col min="12293" max="12293" width="12.75" style="4" customWidth="1"/>
    <col min="12294" max="12294" width="32.75" style="4" customWidth="1"/>
    <col min="12295" max="12295" width="52.75" style="4" customWidth="1"/>
    <col min="12296" max="12544" width="9.125" style="4"/>
    <col min="12545" max="12545" width="12.75" style="4" customWidth="1"/>
    <col min="12546" max="12546" width="32.75" style="4" customWidth="1"/>
    <col min="12547" max="12547" width="52.75" style="4" customWidth="1"/>
    <col min="12548" max="12548" width="4" style="4" customWidth="1"/>
    <col min="12549" max="12549" width="12.75" style="4" customWidth="1"/>
    <col min="12550" max="12550" width="32.75" style="4" customWidth="1"/>
    <col min="12551" max="12551" width="52.75" style="4" customWidth="1"/>
    <col min="12552" max="12800" width="9.125" style="4"/>
    <col min="12801" max="12801" width="12.75" style="4" customWidth="1"/>
    <col min="12802" max="12802" width="32.75" style="4" customWidth="1"/>
    <col min="12803" max="12803" width="52.75" style="4" customWidth="1"/>
    <col min="12804" max="12804" width="4" style="4" customWidth="1"/>
    <col min="12805" max="12805" width="12.75" style="4" customWidth="1"/>
    <col min="12806" max="12806" width="32.75" style="4" customWidth="1"/>
    <col min="12807" max="12807" width="52.75" style="4" customWidth="1"/>
    <col min="12808" max="13056" width="9.125" style="4"/>
    <col min="13057" max="13057" width="12.75" style="4" customWidth="1"/>
    <col min="13058" max="13058" width="32.75" style="4" customWidth="1"/>
    <col min="13059" max="13059" width="52.75" style="4" customWidth="1"/>
    <col min="13060" max="13060" width="4" style="4" customWidth="1"/>
    <col min="13061" max="13061" width="12.75" style="4" customWidth="1"/>
    <col min="13062" max="13062" width="32.75" style="4" customWidth="1"/>
    <col min="13063" max="13063" width="52.75" style="4" customWidth="1"/>
    <col min="13064" max="13312" width="9.125" style="4"/>
    <col min="13313" max="13313" width="12.75" style="4" customWidth="1"/>
    <col min="13314" max="13314" width="32.75" style="4" customWidth="1"/>
    <col min="13315" max="13315" width="52.75" style="4" customWidth="1"/>
    <col min="13316" max="13316" width="4" style="4" customWidth="1"/>
    <col min="13317" max="13317" width="12.75" style="4" customWidth="1"/>
    <col min="13318" max="13318" width="32.75" style="4" customWidth="1"/>
    <col min="13319" max="13319" width="52.75" style="4" customWidth="1"/>
    <col min="13320" max="13568" width="9.125" style="4"/>
    <col min="13569" max="13569" width="12.75" style="4" customWidth="1"/>
    <col min="13570" max="13570" width="32.75" style="4" customWidth="1"/>
    <col min="13571" max="13571" width="52.75" style="4" customWidth="1"/>
    <col min="13572" max="13572" width="4" style="4" customWidth="1"/>
    <col min="13573" max="13573" width="12.75" style="4" customWidth="1"/>
    <col min="13574" max="13574" width="32.75" style="4" customWidth="1"/>
    <col min="13575" max="13575" width="52.75" style="4" customWidth="1"/>
    <col min="13576" max="13824" width="9.125" style="4"/>
    <col min="13825" max="13825" width="12.75" style="4" customWidth="1"/>
    <col min="13826" max="13826" width="32.75" style="4" customWidth="1"/>
    <col min="13827" max="13827" width="52.75" style="4" customWidth="1"/>
    <col min="13828" max="13828" width="4" style="4" customWidth="1"/>
    <col min="13829" max="13829" width="12.75" style="4" customWidth="1"/>
    <col min="13830" max="13830" width="32.75" style="4" customWidth="1"/>
    <col min="13831" max="13831" width="52.75" style="4" customWidth="1"/>
    <col min="13832" max="14080" width="9.125" style="4"/>
    <col min="14081" max="14081" width="12.75" style="4" customWidth="1"/>
    <col min="14082" max="14082" width="32.75" style="4" customWidth="1"/>
    <col min="14083" max="14083" width="52.75" style="4" customWidth="1"/>
    <col min="14084" max="14084" width="4" style="4" customWidth="1"/>
    <col min="14085" max="14085" width="12.75" style="4" customWidth="1"/>
    <col min="14086" max="14086" width="32.75" style="4" customWidth="1"/>
    <col min="14087" max="14087" width="52.75" style="4" customWidth="1"/>
    <col min="14088" max="14336" width="9.125" style="4"/>
    <col min="14337" max="14337" width="12.75" style="4" customWidth="1"/>
    <col min="14338" max="14338" width="32.75" style="4" customWidth="1"/>
    <col min="14339" max="14339" width="52.75" style="4" customWidth="1"/>
    <col min="14340" max="14340" width="4" style="4" customWidth="1"/>
    <col min="14341" max="14341" width="12.75" style="4" customWidth="1"/>
    <col min="14342" max="14342" width="32.75" style="4" customWidth="1"/>
    <col min="14343" max="14343" width="52.75" style="4" customWidth="1"/>
    <col min="14344" max="14592" width="9.125" style="4"/>
    <col min="14593" max="14593" width="12.75" style="4" customWidth="1"/>
    <col min="14594" max="14594" width="32.75" style="4" customWidth="1"/>
    <col min="14595" max="14595" width="52.75" style="4" customWidth="1"/>
    <col min="14596" max="14596" width="4" style="4" customWidth="1"/>
    <col min="14597" max="14597" width="12.75" style="4" customWidth="1"/>
    <col min="14598" max="14598" width="32.75" style="4" customWidth="1"/>
    <col min="14599" max="14599" width="52.75" style="4" customWidth="1"/>
    <col min="14600" max="14848" width="9.125" style="4"/>
    <col min="14849" max="14849" width="12.75" style="4" customWidth="1"/>
    <col min="14850" max="14850" width="32.75" style="4" customWidth="1"/>
    <col min="14851" max="14851" width="52.75" style="4" customWidth="1"/>
    <col min="14852" max="14852" width="4" style="4" customWidth="1"/>
    <col min="14853" max="14853" width="12.75" style="4" customWidth="1"/>
    <col min="14854" max="14854" width="32.75" style="4" customWidth="1"/>
    <col min="14855" max="14855" width="52.75" style="4" customWidth="1"/>
    <col min="14856" max="15104" width="9.125" style="4"/>
    <col min="15105" max="15105" width="12.75" style="4" customWidth="1"/>
    <col min="15106" max="15106" width="32.75" style="4" customWidth="1"/>
    <col min="15107" max="15107" width="52.75" style="4" customWidth="1"/>
    <col min="15108" max="15108" width="4" style="4" customWidth="1"/>
    <col min="15109" max="15109" width="12.75" style="4" customWidth="1"/>
    <col min="15110" max="15110" width="32.75" style="4" customWidth="1"/>
    <col min="15111" max="15111" width="52.75" style="4" customWidth="1"/>
    <col min="15112" max="15360" width="9.125" style="4"/>
    <col min="15361" max="15361" width="12.75" style="4" customWidth="1"/>
    <col min="15362" max="15362" width="32.75" style="4" customWidth="1"/>
    <col min="15363" max="15363" width="52.75" style="4" customWidth="1"/>
    <col min="15364" max="15364" width="4" style="4" customWidth="1"/>
    <col min="15365" max="15365" width="12.75" style="4" customWidth="1"/>
    <col min="15366" max="15366" width="32.75" style="4" customWidth="1"/>
    <col min="15367" max="15367" width="52.75" style="4" customWidth="1"/>
    <col min="15368" max="15616" width="9.125" style="4"/>
    <col min="15617" max="15617" width="12.75" style="4" customWidth="1"/>
    <col min="15618" max="15618" width="32.75" style="4" customWidth="1"/>
    <col min="15619" max="15619" width="52.75" style="4" customWidth="1"/>
    <col min="15620" max="15620" width="4" style="4" customWidth="1"/>
    <col min="15621" max="15621" width="12.75" style="4" customWidth="1"/>
    <col min="15622" max="15622" width="32.75" style="4" customWidth="1"/>
    <col min="15623" max="15623" width="52.75" style="4" customWidth="1"/>
    <col min="15624" max="15872" width="9.125" style="4"/>
    <col min="15873" max="15873" width="12.75" style="4" customWidth="1"/>
    <col min="15874" max="15874" width="32.75" style="4" customWidth="1"/>
    <col min="15875" max="15875" width="52.75" style="4" customWidth="1"/>
    <col min="15876" max="15876" width="4" style="4" customWidth="1"/>
    <col min="15877" max="15877" width="12.75" style="4" customWidth="1"/>
    <col min="15878" max="15878" width="32.75" style="4" customWidth="1"/>
    <col min="15879" max="15879" width="52.75" style="4" customWidth="1"/>
    <col min="15880" max="16128" width="9.125" style="4"/>
    <col min="16129" max="16129" width="12.75" style="4" customWidth="1"/>
    <col min="16130" max="16130" width="32.75" style="4" customWidth="1"/>
    <col min="16131" max="16131" width="52.75" style="4" customWidth="1"/>
    <col min="16132" max="16132" width="4" style="4" customWidth="1"/>
    <col min="16133" max="16133" width="12.75" style="4" customWidth="1"/>
    <col min="16134" max="16134" width="32.75" style="4" customWidth="1"/>
    <col min="16135" max="16135" width="52.75" style="4" customWidth="1"/>
    <col min="16136" max="16384" width="9.125" style="4"/>
  </cols>
  <sheetData>
    <row r="1" spans="1:18" x14ac:dyDescent="0.25">
      <c r="F1" s="23" t="s">
        <v>395</v>
      </c>
      <c r="G1" s="24" t="s">
        <v>396</v>
      </c>
      <c r="H1" s="24" t="s">
        <v>397</v>
      </c>
      <c r="I1" s="24" t="s">
        <v>398</v>
      </c>
      <c r="J1" s="24" t="s">
        <v>399</v>
      </c>
      <c r="K1" s="24" t="s">
        <v>400</v>
      </c>
      <c r="L1" s="24" t="s">
        <v>401</v>
      </c>
      <c r="M1" s="24" t="s">
        <v>402</v>
      </c>
      <c r="N1" s="24" t="s">
        <v>403</v>
      </c>
      <c r="O1" s="24" t="s">
        <v>404</v>
      </c>
      <c r="P1" s="24" t="s">
        <v>405</v>
      </c>
      <c r="Q1" s="24" t="s">
        <v>406</v>
      </c>
      <c r="R1" s="24" t="s">
        <v>407</v>
      </c>
    </row>
    <row r="2" spans="1:18" x14ac:dyDescent="0.25">
      <c r="A2" s="20">
        <v>11.1</v>
      </c>
      <c r="B2" t="s">
        <v>194</v>
      </c>
      <c r="C2" t="s">
        <v>196</v>
      </c>
      <c r="F2" s="255">
        <f>A2</f>
        <v>11.1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25">
      <c r="B3" t="s">
        <v>195</v>
      </c>
      <c r="F3" s="25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x14ac:dyDescent="0.25">
      <c r="F4" s="257"/>
      <c r="G4" s="23" t="s">
        <v>93</v>
      </c>
      <c r="H4" s="23" t="s">
        <v>93</v>
      </c>
      <c r="I4" s="23" t="s">
        <v>93</v>
      </c>
      <c r="J4" s="23" t="s">
        <v>93</v>
      </c>
      <c r="K4" s="23" t="s">
        <v>93</v>
      </c>
      <c r="L4" s="23" t="s">
        <v>93</v>
      </c>
      <c r="M4" s="23" t="s">
        <v>93</v>
      </c>
      <c r="N4" s="23" t="s">
        <v>93</v>
      </c>
      <c r="O4" s="23" t="s">
        <v>93</v>
      </c>
      <c r="P4" s="23" t="s">
        <v>93</v>
      </c>
      <c r="Q4" s="23" t="s">
        <v>93</v>
      </c>
      <c r="R4" s="23" t="s">
        <v>93</v>
      </c>
    </row>
    <row r="5" spans="1:18" x14ac:dyDescent="0.25">
      <c r="A5" s="20">
        <v>11.2</v>
      </c>
      <c r="B5" t="s">
        <v>198</v>
      </c>
      <c r="C5" t="s">
        <v>200</v>
      </c>
      <c r="F5" s="22">
        <f t="shared" ref="F5:F66" si="0">A5</f>
        <v>11.2</v>
      </c>
    </row>
    <row r="6" spans="1:18" x14ac:dyDescent="0.25">
      <c r="B6" t="s">
        <v>197</v>
      </c>
      <c r="F6" s="22">
        <f t="shared" si="0"/>
        <v>0</v>
      </c>
    </row>
    <row r="7" spans="1:18" x14ac:dyDescent="0.25">
      <c r="B7" t="s">
        <v>201</v>
      </c>
      <c r="F7" s="22">
        <f t="shared" si="0"/>
        <v>0</v>
      </c>
    </row>
    <row r="8" spans="1:18" x14ac:dyDescent="0.25">
      <c r="F8" s="22">
        <f t="shared" si="0"/>
        <v>0</v>
      </c>
    </row>
    <row r="9" spans="1:18" x14ac:dyDescent="0.25">
      <c r="A9" s="20">
        <v>11.3</v>
      </c>
      <c r="B9" t="s">
        <v>202</v>
      </c>
      <c r="C9" t="s">
        <v>199</v>
      </c>
      <c r="F9" s="22">
        <f t="shared" si="0"/>
        <v>11.3</v>
      </c>
    </row>
    <row r="10" spans="1:18" x14ac:dyDescent="0.25">
      <c r="B10" t="s">
        <v>203</v>
      </c>
      <c r="F10" s="22">
        <f t="shared" si="0"/>
        <v>0</v>
      </c>
    </row>
    <row r="11" spans="1:18" x14ac:dyDescent="0.25">
      <c r="F11" s="22">
        <f t="shared" si="0"/>
        <v>0</v>
      </c>
    </row>
    <row r="12" spans="1:18" x14ac:dyDescent="0.25">
      <c r="A12" s="20">
        <v>11.4</v>
      </c>
      <c r="B12" t="s">
        <v>207</v>
      </c>
      <c r="C12" t="s">
        <v>196</v>
      </c>
      <c r="F12" s="22">
        <f t="shared" si="0"/>
        <v>11.4</v>
      </c>
    </row>
    <row r="13" spans="1:18" x14ac:dyDescent="0.25">
      <c r="B13" t="s">
        <v>208</v>
      </c>
      <c r="F13" s="22">
        <f t="shared" si="0"/>
        <v>0</v>
      </c>
    </row>
    <row r="14" spans="1:18" x14ac:dyDescent="0.25">
      <c r="B14" t="s">
        <v>209</v>
      </c>
      <c r="F14" s="22">
        <f t="shared" si="0"/>
        <v>0</v>
      </c>
    </row>
    <row r="15" spans="1:18" x14ac:dyDescent="0.25">
      <c r="F15" s="22">
        <f t="shared" si="0"/>
        <v>0</v>
      </c>
    </row>
    <row r="16" spans="1:18" x14ac:dyDescent="0.25">
      <c r="A16" s="20">
        <v>11.5</v>
      </c>
      <c r="B16" t="s">
        <v>204</v>
      </c>
      <c r="C16" t="s">
        <v>166</v>
      </c>
      <c r="F16" s="22">
        <f t="shared" si="0"/>
        <v>11.5</v>
      </c>
    </row>
    <row r="17" spans="1:6" x14ac:dyDescent="0.25">
      <c r="B17" t="s">
        <v>206</v>
      </c>
      <c r="F17" s="22">
        <f t="shared" si="0"/>
        <v>0</v>
      </c>
    </row>
    <row r="18" spans="1:6" x14ac:dyDescent="0.25">
      <c r="B18" t="s">
        <v>205</v>
      </c>
      <c r="F18" s="22">
        <f t="shared" si="0"/>
        <v>0</v>
      </c>
    </row>
    <row r="19" spans="1:6" x14ac:dyDescent="0.25">
      <c r="F19" s="22">
        <f t="shared" si="0"/>
        <v>0</v>
      </c>
    </row>
    <row r="20" spans="1:6" x14ac:dyDescent="0.25">
      <c r="A20" s="20">
        <v>12.1</v>
      </c>
      <c r="B20" t="s">
        <v>146</v>
      </c>
      <c r="C20" t="s">
        <v>210</v>
      </c>
      <c r="F20" s="22">
        <f t="shared" si="0"/>
        <v>12.1</v>
      </c>
    </row>
    <row r="21" spans="1:6" x14ac:dyDescent="0.25">
      <c r="F21" s="22">
        <f t="shared" si="0"/>
        <v>0</v>
      </c>
    </row>
    <row r="22" spans="1:6" x14ac:dyDescent="0.25">
      <c r="A22" s="20">
        <v>12.2</v>
      </c>
      <c r="B22" s="19" t="s">
        <v>211</v>
      </c>
      <c r="C22" t="s">
        <v>196</v>
      </c>
      <c r="F22" s="22">
        <f t="shared" si="0"/>
        <v>12.2</v>
      </c>
    </row>
    <row r="23" spans="1:6" x14ac:dyDescent="0.25">
      <c r="B23" t="s">
        <v>211</v>
      </c>
      <c r="F23" s="22">
        <f t="shared" si="0"/>
        <v>0</v>
      </c>
    </row>
    <row r="24" spans="1:6" x14ac:dyDescent="0.25">
      <c r="B24" t="s">
        <v>211</v>
      </c>
      <c r="F24" s="22">
        <f t="shared" si="0"/>
        <v>0</v>
      </c>
    </row>
    <row r="25" spans="1:6" x14ac:dyDescent="0.25">
      <c r="B25" t="s">
        <v>212</v>
      </c>
      <c r="F25" s="22">
        <f t="shared" si="0"/>
        <v>0</v>
      </c>
    </row>
    <row r="26" spans="1:6" x14ac:dyDescent="0.25">
      <c r="F26" s="22">
        <f t="shared" si="0"/>
        <v>0</v>
      </c>
    </row>
    <row r="27" spans="1:6" x14ac:dyDescent="0.25">
      <c r="A27" s="20">
        <v>12.3</v>
      </c>
      <c r="B27" t="s">
        <v>213</v>
      </c>
      <c r="C27" t="s">
        <v>216</v>
      </c>
      <c r="F27" s="22">
        <f t="shared" si="0"/>
        <v>12.3</v>
      </c>
    </row>
    <row r="28" spans="1:6" x14ac:dyDescent="0.25">
      <c r="B28" t="s">
        <v>214</v>
      </c>
      <c r="F28" s="22">
        <f t="shared" si="0"/>
        <v>0</v>
      </c>
    </row>
    <row r="29" spans="1:6" x14ac:dyDescent="0.25">
      <c r="B29" t="s">
        <v>215</v>
      </c>
      <c r="F29" s="22">
        <f t="shared" si="0"/>
        <v>0</v>
      </c>
    </row>
    <row r="30" spans="1:6" x14ac:dyDescent="0.25">
      <c r="F30" s="22">
        <f t="shared" si="0"/>
        <v>0</v>
      </c>
    </row>
    <row r="31" spans="1:6" x14ac:dyDescent="0.25">
      <c r="A31" s="20">
        <v>12.4</v>
      </c>
      <c r="B31" t="s">
        <v>217</v>
      </c>
      <c r="C31" t="s">
        <v>220</v>
      </c>
      <c r="F31" s="22">
        <f t="shared" si="0"/>
        <v>12.4</v>
      </c>
    </row>
    <row r="32" spans="1:6" x14ac:dyDescent="0.25">
      <c r="B32" t="s">
        <v>218</v>
      </c>
      <c r="F32" s="22">
        <f t="shared" si="0"/>
        <v>0</v>
      </c>
    </row>
    <row r="33" spans="1:6" x14ac:dyDescent="0.25">
      <c r="B33" t="s">
        <v>219</v>
      </c>
      <c r="F33" s="22">
        <f t="shared" si="0"/>
        <v>0</v>
      </c>
    </row>
    <row r="34" spans="1:6" x14ac:dyDescent="0.25">
      <c r="F34" s="22">
        <f t="shared" si="0"/>
        <v>0</v>
      </c>
    </row>
    <row r="35" spans="1:6" x14ac:dyDescent="0.25">
      <c r="A35" s="20">
        <v>12.5</v>
      </c>
      <c r="B35" t="s">
        <v>221</v>
      </c>
      <c r="C35" t="s">
        <v>223</v>
      </c>
      <c r="F35" s="22">
        <f t="shared" si="0"/>
        <v>12.5</v>
      </c>
    </row>
    <row r="36" spans="1:6" x14ac:dyDescent="0.25">
      <c r="B36" t="s">
        <v>222</v>
      </c>
      <c r="F36" s="22">
        <f t="shared" si="0"/>
        <v>0</v>
      </c>
    </row>
    <row r="37" spans="1:6" x14ac:dyDescent="0.25">
      <c r="F37" s="22">
        <f t="shared" si="0"/>
        <v>0</v>
      </c>
    </row>
    <row r="38" spans="1:6" x14ac:dyDescent="0.25">
      <c r="A38" s="20">
        <v>13.1</v>
      </c>
      <c r="B38" t="s">
        <v>224</v>
      </c>
      <c r="C38" t="s">
        <v>230</v>
      </c>
      <c r="F38" s="22">
        <f t="shared" si="0"/>
        <v>13.1</v>
      </c>
    </row>
    <row r="39" spans="1:6" x14ac:dyDescent="0.25">
      <c r="B39" t="s">
        <v>225</v>
      </c>
      <c r="F39" s="22">
        <f t="shared" si="0"/>
        <v>0</v>
      </c>
    </row>
    <row r="40" spans="1:6" x14ac:dyDescent="0.25">
      <c r="B40" t="s">
        <v>226</v>
      </c>
      <c r="F40" s="22">
        <f t="shared" si="0"/>
        <v>0</v>
      </c>
    </row>
    <row r="41" spans="1:6" x14ac:dyDescent="0.25">
      <c r="B41" t="s">
        <v>225</v>
      </c>
      <c r="F41" s="22">
        <f t="shared" si="0"/>
        <v>0</v>
      </c>
    </row>
    <row r="42" spans="1:6" x14ac:dyDescent="0.25">
      <c r="B42" t="s">
        <v>227</v>
      </c>
      <c r="F42" s="22">
        <f t="shared" si="0"/>
        <v>0</v>
      </c>
    </row>
    <row r="43" spans="1:6" x14ac:dyDescent="0.25">
      <c r="B43" t="s">
        <v>225</v>
      </c>
      <c r="F43" s="22">
        <f t="shared" si="0"/>
        <v>0</v>
      </c>
    </row>
    <row r="44" spans="1:6" x14ac:dyDescent="0.25">
      <c r="B44" t="s">
        <v>228</v>
      </c>
      <c r="F44" s="22">
        <f t="shared" si="0"/>
        <v>0</v>
      </c>
    </row>
    <row r="45" spans="1:6" x14ac:dyDescent="0.25">
      <c r="B45" t="s">
        <v>229</v>
      </c>
      <c r="F45" s="22">
        <f t="shared" si="0"/>
        <v>0</v>
      </c>
    </row>
    <row r="46" spans="1:6" x14ac:dyDescent="0.25">
      <c r="F46" s="22">
        <f t="shared" si="0"/>
        <v>0</v>
      </c>
    </row>
    <row r="47" spans="1:6" x14ac:dyDescent="0.25">
      <c r="A47" s="20">
        <v>13.2</v>
      </c>
      <c r="B47" t="s">
        <v>231</v>
      </c>
      <c r="C47" t="s">
        <v>196</v>
      </c>
      <c r="F47" s="22">
        <f t="shared" si="0"/>
        <v>13.2</v>
      </c>
    </row>
    <row r="48" spans="1:6" x14ac:dyDescent="0.25">
      <c r="B48" t="s">
        <v>232</v>
      </c>
      <c r="F48" s="22">
        <f t="shared" si="0"/>
        <v>0</v>
      </c>
    </row>
    <row r="49" spans="1:6" x14ac:dyDescent="0.25">
      <c r="B49" t="s">
        <v>233</v>
      </c>
      <c r="F49" s="22">
        <f t="shared" si="0"/>
        <v>0</v>
      </c>
    </row>
    <row r="50" spans="1:6" x14ac:dyDescent="0.25">
      <c r="F50" s="22">
        <f t="shared" si="0"/>
        <v>0</v>
      </c>
    </row>
    <row r="51" spans="1:6" x14ac:dyDescent="0.25">
      <c r="F51" s="22">
        <f t="shared" si="0"/>
        <v>0</v>
      </c>
    </row>
    <row r="52" spans="1:6" x14ac:dyDescent="0.25">
      <c r="A52" s="20">
        <v>13.3</v>
      </c>
      <c r="B52" t="s">
        <v>217</v>
      </c>
      <c r="C52" t="s">
        <v>220</v>
      </c>
      <c r="F52" s="22">
        <f t="shared" si="0"/>
        <v>13.3</v>
      </c>
    </row>
    <row r="53" spans="1:6" x14ac:dyDescent="0.25">
      <c r="B53" t="s">
        <v>218</v>
      </c>
      <c r="F53" s="22">
        <f t="shared" si="0"/>
        <v>0</v>
      </c>
    </row>
    <row r="54" spans="1:6" x14ac:dyDescent="0.25">
      <c r="B54" t="s">
        <v>219</v>
      </c>
      <c r="F54" s="22">
        <f t="shared" si="0"/>
        <v>0</v>
      </c>
    </row>
    <row r="55" spans="1:6" x14ac:dyDescent="0.25">
      <c r="F55" s="22">
        <f t="shared" si="0"/>
        <v>0</v>
      </c>
    </row>
    <row r="56" spans="1:6" x14ac:dyDescent="0.25">
      <c r="A56" s="20">
        <v>13.4</v>
      </c>
      <c r="B56" t="s">
        <v>235</v>
      </c>
      <c r="C56" t="s">
        <v>210</v>
      </c>
      <c r="F56" s="22">
        <f t="shared" si="0"/>
        <v>13.4</v>
      </c>
    </row>
    <row r="57" spans="1:6" x14ac:dyDescent="0.25">
      <c r="B57" t="s">
        <v>236</v>
      </c>
      <c r="C57" t="s">
        <v>234</v>
      </c>
      <c r="F57" s="22">
        <f t="shared" si="0"/>
        <v>0</v>
      </c>
    </row>
    <row r="58" spans="1:6" x14ac:dyDescent="0.25">
      <c r="F58" s="22">
        <f t="shared" si="0"/>
        <v>0</v>
      </c>
    </row>
    <row r="59" spans="1:6" x14ac:dyDescent="0.25">
      <c r="A59" s="20">
        <v>13.5</v>
      </c>
      <c r="B59" s="19" t="s">
        <v>238</v>
      </c>
      <c r="C59" t="s">
        <v>237</v>
      </c>
      <c r="F59" s="22">
        <f t="shared" si="0"/>
        <v>13.5</v>
      </c>
    </row>
    <row r="60" spans="1:6" x14ac:dyDescent="0.25">
      <c r="B60" t="s">
        <v>239</v>
      </c>
      <c r="F60" s="22">
        <f t="shared" si="0"/>
        <v>0</v>
      </c>
    </row>
    <row r="61" spans="1:6" x14ac:dyDescent="0.25">
      <c r="F61" s="22">
        <f t="shared" si="0"/>
        <v>0</v>
      </c>
    </row>
    <row r="62" spans="1:6" x14ac:dyDescent="0.25">
      <c r="A62" s="20">
        <v>14.1</v>
      </c>
      <c r="B62" t="s">
        <v>194</v>
      </c>
      <c r="C62" t="s">
        <v>241</v>
      </c>
      <c r="F62" s="22">
        <f t="shared" si="0"/>
        <v>14.1</v>
      </c>
    </row>
    <row r="63" spans="1:6" x14ac:dyDescent="0.25">
      <c r="B63" t="s">
        <v>240</v>
      </c>
      <c r="F63" s="22">
        <f t="shared" si="0"/>
        <v>0</v>
      </c>
    </row>
    <row r="64" spans="1:6" x14ac:dyDescent="0.25">
      <c r="F64" s="22">
        <f t="shared" si="0"/>
        <v>0</v>
      </c>
    </row>
    <row r="65" spans="1:6" x14ac:dyDescent="0.25">
      <c r="A65" s="20">
        <v>14.2</v>
      </c>
      <c r="B65" t="s">
        <v>250</v>
      </c>
      <c r="C65" t="s">
        <v>241</v>
      </c>
      <c r="F65" s="22">
        <f t="shared" si="0"/>
        <v>14.2</v>
      </c>
    </row>
    <row r="66" spans="1:6" x14ac:dyDescent="0.25">
      <c r="B66" t="s">
        <v>222</v>
      </c>
      <c r="C66" t="s">
        <v>251</v>
      </c>
      <c r="F66" s="22">
        <f t="shared" si="0"/>
        <v>0</v>
      </c>
    </row>
    <row r="67" spans="1:6" x14ac:dyDescent="0.25">
      <c r="F67" s="22">
        <f t="shared" ref="F67:F130" si="1">A67</f>
        <v>0</v>
      </c>
    </row>
    <row r="68" spans="1:6" x14ac:dyDescent="0.25">
      <c r="A68" s="20">
        <v>14.3</v>
      </c>
      <c r="B68" t="s">
        <v>232</v>
      </c>
      <c r="C68" t="s">
        <v>249</v>
      </c>
      <c r="F68" s="22">
        <f t="shared" si="1"/>
        <v>14.3</v>
      </c>
    </row>
    <row r="69" spans="1:6" x14ac:dyDescent="0.25">
      <c r="B69" t="s">
        <v>242</v>
      </c>
      <c r="F69" s="22">
        <f t="shared" si="1"/>
        <v>0</v>
      </c>
    </row>
    <row r="70" spans="1:6" x14ac:dyDescent="0.25">
      <c r="B70" t="s">
        <v>243</v>
      </c>
      <c r="F70" s="22">
        <f t="shared" si="1"/>
        <v>0</v>
      </c>
    </row>
    <row r="71" spans="1:6" x14ac:dyDescent="0.25">
      <c r="B71" t="s">
        <v>244</v>
      </c>
      <c r="F71" s="22">
        <f t="shared" si="1"/>
        <v>0</v>
      </c>
    </row>
    <row r="72" spans="1:6" x14ac:dyDescent="0.25">
      <c r="B72" t="s">
        <v>245</v>
      </c>
      <c r="F72" s="22">
        <f t="shared" si="1"/>
        <v>0</v>
      </c>
    </row>
    <row r="73" spans="1:6" x14ac:dyDescent="0.25">
      <c r="B73" t="s">
        <v>242</v>
      </c>
      <c r="F73" s="22">
        <f t="shared" si="1"/>
        <v>0</v>
      </c>
    </row>
    <row r="74" spans="1:6" x14ac:dyDescent="0.25">
      <c r="B74" t="s">
        <v>246</v>
      </c>
      <c r="F74" s="22">
        <f t="shared" si="1"/>
        <v>0</v>
      </c>
    </row>
    <row r="75" spans="1:6" x14ac:dyDescent="0.25">
      <c r="B75" t="s">
        <v>242</v>
      </c>
      <c r="F75" s="22">
        <f t="shared" si="1"/>
        <v>0</v>
      </c>
    </row>
    <row r="76" spans="1:6" x14ac:dyDescent="0.25">
      <c r="B76" t="s">
        <v>247</v>
      </c>
      <c r="F76" s="22">
        <f t="shared" si="1"/>
        <v>0</v>
      </c>
    </row>
    <row r="77" spans="1:6" x14ac:dyDescent="0.25">
      <c r="B77" t="s">
        <v>242</v>
      </c>
      <c r="F77" s="22">
        <f t="shared" si="1"/>
        <v>0</v>
      </c>
    </row>
    <row r="78" spans="1:6" x14ac:dyDescent="0.25">
      <c r="B78" t="s">
        <v>248</v>
      </c>
      <c r="F78" s="22">
        <f t="shared" si="1"/>
        <v>0</v>
      </c>
    </row>
    <row r="79" spans="1:6" x14ac:dyDescent="0.25">
      <c r="B79" t="s">
        <v>244</v>
      </c>
      <c r="F79" s="22">
        <f t="shared" si="1"/>
        <v>0</v>
      </c>
    </row>
    <row r="80" spans="1:6" x14ac:dyDescent="0.25">
      <c r="F80" s="22">
        <f t="shared" si="1"/>
        <v>0</v>
      </c>
    </row>
    <row r="81" spans="1:6" x14ac:dyDescent="0.25">
      <c r="A81" s="20">
        <v>14.4</v>
      </c>
      <c r="B81" t="s">
        <v>252</v>
      </c>
      <c r="C81" t="s">
        <v>257</v>
      </c>
      <c r="F81" s="22">
        <f t="shared" si="1"/>
        <v>14.4</v>
      </c>
    </row>
    <row r="82" spans="1:6" x14ac:dyDescent="0.25">
      <c r="B82" t="s">
        <v>253</v>
      </c>
      <c r="F82" s="22">
        <f t="shared" si="1"/>
        <v>0</v>
      </c>
    </row>
    <row r="83" spans="1:6" x14ac:dyDescent="0.25">
      <c r="B83" t="s">
        <v>254</v>
      </c>
      <c r="F83" s="22">
        <f t="shared" si="1"/>
        <v>0</v>
      </c>
    </row>
    <row r="84" spans="1:6" x14ac:dyDescent="0.25">
      <c r="B84" t="s">
        <v>255</v>
      </c>
      <c r="F84" s="22">
        <f t="shared" si="1"/>
        <v>0</v>
      </c>
    </row>
    <row r="85" spans="1:6" x14ac:dyDescent="0.25">
      <c r="B85" t="s">
        <v>256</v>
      </c>
      <c r="F85" s="22">
        <f t="shared" si="1"/>
        <v>0</v>
      </c>
    </row>
    <row r="86" spans="1:6" x14ac:dyDescent="0.25">
      <c r="F86" s="22">
        <f t="shared" si="1"/>
        <v>0</v>
      </c>
    </row>
    <row r="87" spans="1:6" x14ac:dyDescent="0.25">
      <c r="A87" s="20">
        <v>14.5</v>
      </c>
      <c r="B87" s="21" t="s">
        <v>258</v>
      </c>
      <c r="C87" s="21" t="s">
        <v>259</v>
      </c>
      <c r="F87" s="22">
        <f t="shared" si="1"/>
        <v>14.5</v>
      </c>
    </row>
    <row r="88" spans="1:6" x14ac:dyDescent="0.25">
      <c r="B88" s="21" t="s">
        <v>146</v>
      </c>
      <c r="C88" s="21" t="s">
        <v>271</v>
      </c>
      <c r="F88" s="22">
        <f t="shared" si="1"/>
        <v>0</v>
      </c>
    </row>
    <row r="89" spans="1:6" x14ac:dyDescent="0.25">
      <c r="F89" s="22">
        <f t="shared" si="1"/>
        <v>0</v>
      </c>
    </row>
    <row r="90" spans="1:6" x14ac:dyDescent="0.25">
      <c r="A90" s="20">
        <v>15.1</v>
      </c>
      <c r="B90" t="s">
        <v>262</v>
      </c>
      <c r="C90" t="s">
        <v>260</v>
      </c>
      <c r="F90" s="22">
        <f t="shared" si="1"/>
        <v>15.1</v>
      </c>
    </row>
    <row r="91" spans="1:6" x14ac:dyDescent="0.25">
      <c r="B91" t="s">
        <v>263</v>
      </c>
      <c r="C91" t="s">
        <v>261</v>
      </c>
      <c r="F91" s="22">
        <f t="shared" si="1"/>
        <v>0</v>
      </c>
    </row>
    <row r="92" spans="1:6" x14ac:dyDescent="0.25">
      <c r="B92" t="s">
        <v>264</v>
      </c>
      <c r="F92" s="22">
        <f t="shared" si="1"/>
        <v>0</v>
      </c>
    </row>
    <row r="93" spans="1:6" x14ac:dyDescent="0.25">
      <c r="F93" s="22">
        <f t="shared" si="1"/>
        <v>0</v>
      </c>
    </row>
    <row r="94" spans="1:6" x14ac:dyDescent="0.25">
      <c r="B94" t="s">
        <v>265</v>
      </c>
      <c r="F94" s="22">
        <f t="shared" si="1"/>
        <v>0</v>
      </c>
    </row>
    <row r="95" spans="1:6" x14ac:dyDescent="0.25">
      <c r="F95" s="22">
        <f t="shared" si="1"/>
        <v>0</v>
      </c>
    </row>
    <row r="96" spans="1:6" x14ac:dyDescent="0.25">
      <c r="A96" s="20">
        <v>15.2</v>
      </c>
      <c r="B96" s="19" t="s">
        <v>266</v>
      </c>
      <c r="C96" t="s">
        <v>241</v>
      </c>
      <c r="F96" s="22">
        <f t="shared" si="1"/>
        <v>15.2</v>
      </c>
    </row>
    <row r="97" spans="1:6" x14ac:dyDescent="0.25">
      <c r="B97" t="s">
        <v>267</v>
      </c>
      <c r="F97" s="22">
        <f t="shared" si="1"/>
        <v>0</v>
      </c>
    </row>
    <row r="98" spans="1:6" x14ac:dyDescent="0.25">
      <c r="F98" s="22">
        <f t="shared" si="1"/>
        <v>0</v>
      </c>
    </row>
    <row r="99" spans="1:6" x14ac:dyDescent="0.25">
      <c r="A99" s="20">
        <v>15.3</v>
      </c>
      <c r="B99" t="s">
        <v>268</v>
      </c>
      <c r="C99" t="s">
        <v>257</v>
      </c>
      <c r="F99" s="22">
        <f t="shared" si="1"/>
        <v>15.3</v>
      </c>
    </row>
    <row r="100" spans="1:6" x14ac:dyDescent="0.25">
      <c r="B100" t="s">
        <v>269</v>
      </c>
      <c r="F100" s="22">
        <f t="shared" si="1"/>
        <v>0</v>
      </c>
    </row>
    <row r="101" spans="1:6" x14ac:dyDescent="0.25">
      <c r="B101" t="s">
        <v>270</v>
      </c>
      <c r="F101" s="22">
        <f t="shared" si="1"/>
        <v>0</v>
      </c>
    </row>
    <row r="102" spans="1:6" x14ac:dyDescent="0.25">
      <c r="F102" s="22">
        <f t="shared" si="1"/>
        <v>0</v>
      </c>
    </row>
    <row r="103" spans="1:6" x14ac:dyDescent="0.25">
      <c r="A103" s="20">
        <v>15.4</v>
      </c>
      <c r="B103" t="s">
        <v>272</v>
      </c>
      <c r="C103" t="s">
        <v>249</v>
      </c>
      <c r="F103" s="22">
        <f t="shared" si="1"/>
        <v>15.4</v>
      </c>
    </row>
    <row r="104" spans="1:6" x14ac:dyDescent="0.25">
      <c r="B104" t="s">
        <v>273</v>
      </c>
      <c r="F104" s="22">
        <f t="shared" si="1"/>
        <v>0</v>
      </c>
    </row>
    <row r="105" spans="1:6" x14ac:dyDescent="0.25">
      <c r="B105" t="s">
        <v>274</v>
      </c>
      <c r="F105" s="22">
        <f t="shared" si="1"/>
        <v>0</v>
      </c>
    </row>
    <row r="106" spans="1:6" x14ac:dyDescent="0.25">
      <c r="B106" t="s">
        <v>273</v>
      </c>
      <c r="F106" s="22">
        <f t="shared" si="1"/>
        <v>0</v>
      </c>
    </row>
    <row r="107" spans="1:6" x14ac:dyDescent="0.25">
      <c r="B107" t="s">
        <v>275</v>
      </c>
      <c r="F107" s="22">
        <f t="shared" si="1"/>
        <v>0</v>
      </c>
    </row>
    <row r="108" spans="1:6" x14ac:dyDescent="0.25">
      <c r="B108" t="s">
        <v>276</v>
      </c>
      <c r="F108" s="22">
        <f t="shared" si="1"/>
        <v>0</v>
      </c>
    </row>
    <row r="109" spans="1:6" x14ac:dyDescent="0.25">
      <c r="B109" t="s">
        <v>277</v>
      </c>
      <c r="F109" s="22">
        <f t="shared" si="1"/>
        <v>0</v>
      </c>
    </row>
    <row r="110" spans="1:6" x14ac:dyDescent="0.25">
      <c r="B110" t="s">
        <v>278</v>
      </c>
      <c r="F110" s="22">
        <f t="shared" si="1"/>
        <v>0</v>
      </c>
    </row>
    <row r="111" spans="1:6" x14ac:dyDescent="0.25">
      <c r="B111" t="s">
        <v>279</v>
      </c>
      <c r="F111" s="22">
        <f t="shared" si="1"/>
        <v>0</v>
      </c>
    </row>
    <row r="112" spans="1:6" x14ac:dyDescent="0.25">
      <c r="B112" t="s">
        <v>278</v>
      </c>
      <c r="F112" s="22">
        <f t="shared" si="1"/>
        <v>0</v>
      </c>
    </row>
    <row r="113" spans="1:6" x14ac:dyDescent="0.25">
      <c r="B113" t="s">
        <v>280</v>
      </c>
      <c r="F113" s="22">
        <f t="shared" si="1"/>
        <v>0</v>
      </c>
    </row>
    <row r="114" spans="1:6" x14ac:dyDescent="0.25">
      <c r="B114" t="s">
        <v>281</v>
      </c>
      <c r="F114" s="22">
        <f t="shared" si="1"/>
        <v>0</v>
      </c>
    </row>
    <row r="115" spans="1:6" x14ac:dyDescent="0.25">
      <c r="B115" t="s">
        <v>282</v>
      </c>
      <c r="F115" s="22">
        <f t="shared" si="1"/>
        <v>0</v>
      </c>
    </row>
    <row r="116" spans="1:6" x14ac:dyDescent="0.25">
      <c r="B116" t="s">
        <v>283</v>
      </c>
      <c r="F116" s="22">
        <f t="shared" si="1"/>
        <v>0</v>
      </c>
    </row>
    <row r="117" spans="1:6" x14ac:dyDescent="0.25">
      <c r="F117" s="22">
        <f t="shared" si="1"/>
        <v>0</v>
      </c>
    </row>
    <row r="118" spans="1:6" x14ac:dyDescent="0.25">
      <c r="A118" s="20">
        <v>15.5</v>
      </c>
      <c r="B118" t="s">
        <v>284</v>
      </c>
      <c r="C118" t="s">
        <v>259</v>
      </c>
      <c r="F118" s="22">
        <f t="shared" si="1"/>
        <v>15.5</v>
      </c>
    </row>
    <row r="119" spans="1:6" x14ac:dyDescent="0.25">
      <c r="B119" t="s">
        <v>285</v>
      </c>
      <c r="C119" t="s">
        <v>286</v>
      </c>
      <c r="F119" s="22">
        <f t="shared" si="1"/>
        <v>0</v>
      </c>
    </row>
    <row r="120" spans="1:6" x14ac:dyDescent="0.25">
      <c r="F120" s="22">
        <f t="shared" si="1"/>
        <v>0</v>
      </c>
    </row>
    <row r="121" spans="1:6" x14ac:dyDescent="0.25">
      <c r="A121" s="20">
        <v>16.100000000000001</v>
      </c>
      <c r="B121" t="s">
        <v>287</v>
      </c>
      <c r="C121" t="s">
        <v>166</v>
      </c>
      <c r="F121" s="22">
        <f t="shared" si="1"/>
        <v>16.100000000000001</v>
      </c>
    </row>
    <row r="122" spans="1:6" x14ac:dyDescent="0.25">
      <c r="B122" t="s">
        <v>288</v>
      </c>
      <c r="F122" s="22">
        <f t="shared" si="1"/>
        <v>0</v>
      </c>
    </row>
    <row r="123" spans="1:6" x14ac:dyDescent="0.25">
      <c r="B123" t="s">
        <v>289</v>
      </c>
      <c r="F123" s="22">
        <f t="shared" si="1"/>
        <v>0</v>
      </c>
    </row>
    <row r="124" spans="1:6" x14ac:dyDescent="0.25">
      <c r="B124" t="s">
        <v>290</v>
      </c>
      <c r="F124" s="22">
        <f t="shared" si="1"/>
        <v>0</v>
      </c>
    </row>
    <row r="125" spans="1:6" x14ac:dyDescent="0.25">
      <c r="F125" s="22">
        <f t="shared" si="1"/>
        <v>0</v>
      </c>
    </row>
    <row r="126" spans="1:6" x14ac:dyDescent="0.25">
      <c r="A126" s="20">
        <v>16.2</v>
      </c>
      <c r="B126" t="s">
        <v>291</v>
      </c>
      <c r="C126" t="s">
        <v>293</v>
      </c>
      <c r="F126" s="22">
        <f t="shared" si="1"/>
        <v>16.2</v>
      </c>
    </row>
    <row r="127" spans="1:6" x14ac:dyDescent="0.25">
      <c r="B127" t="s">
        <v>90</v>
      </c>
      <c r="C127" t="s">
        <v>294</v>
      </c>
      <c r="F127" s="22">
        <f t="shared" si="1"/>
        <v>0</v>
      </c>
    </row>
    <row r="128" spans="1:6" x14ac:dyDescent="0.25">
      <c r="B128" t="s">
        <v>292</v>
      </c>
      <c r="F128" s="22">
        <f t="shared" si="1"/>
        <v>0</v>
      </c>
    </row>
    <row r="129" spans="1:6" x14ac:dyDescent="0.25">
      <c r="F129" s="22">
        <f t="shared" si="1"/>
        <v>0</v>
      </c>
    </row>
    <row r="130" spans="1:6" x14ac:dyDescent="0.25">
      <c r="A130" s="20">
        <v>16.3</v>
      </c>
      <c r="B130" t="s">
        <v>296</v>
      </c>
      <c r="C130" t="s">
        <v>210</v>
      </c>
      <c r="F130" s="22">
        <f t="shared" si="1"/>
        <v>16.3</v>
      </c>
    </row>
    <row r="131" spans="1:6" x14ac:dyDescent="0.25">
      <c r="B131" t="s">
        <v>295</v>
      </c>
      <c r="F131" s="22">
        <f t="shared" ref="F131:F194" si="2">A131</f>
        <v>0</v>
      </c>
    </row>
    <row r="132" spans="1:6" x14ac:dyDescent="0.25">
      <c r="F132" s="22">
        <f t="shared" si="2"/>
        <v>0</v>
      </c>
    </row>
    <row r="133" spans="1:6" x14ac:dyDescent="0.25">
      <c r="A133" s="20">
        <v>16.399999999999999</v>
      </c>
      <c r="B133" t="s">
        <v>298</v>
      </c>
      <c r="C133" t="s">
        <v>297</v>
      </c>
      <c r="F133" s="22">
        <f t="shared" si="2"/>
        <v>16.399999999999999</v>
      </c>
    </row>
    <row r="134" spans="1:6" x14ac:dyDescent="0.25">
      <c r="B134" t="s">
        <v>299</v>
      </c>
      <c r="F134" s="22">
        <f t="shared" si="2"/>
        <v>0</v>
      </c>
    </row>
    <row r="135" spans="1:6" x14ac:dyDescent="0.25">
      <c r="B135" t="s">
        <v>300</v>
      </c>
      <c r="F135" s="22">
        <f t="shared" si="2"/>
        <v>0</v>
      </c>
    </row>
    <row r="136" spans="1:6" x14ac:dyDescent="0.25">
      <c r="B136" t="s">
        <v>301</v>
      </c>
      <c r="F136" s="22">
        <f t="shared" si="2"/>
        <v>0</v>
      </c>
    </row>
    <row r="137" spans="1:6" x14ac:dyDescent="0.25">
      <c r="F137" s="22">
        <f t="shared" si="2"/>
        <v>0</v>
      </c>
    </row>
    <row r="138" spans="1:6" x14ac:dyDescent="0.25">
      <c r="A138" s="20">
        <v>16.5</v>
      </c>
      <c r="B138" t="s">
        <v>221</v>
      </c>
      <c r="C138" t="s">
        <v>259</v>
      </c>
      <c r="F138" s="22">
        <f t="shared" si="2"/>
        <v>16.5</v>
      </c>
    </row>
    <row r="139" spans="1:6" x14ac:dyDescent="0.25">
      <c r="B139" t="s">
        <v>146</v>
      </c>
      <c r="C139" t="s">
        <v>302</v>
      </c>
      <c r="F139" s="22">
        <f t="shared" si="2"/>
        <v>0</v>
      </c>
    </row>
    <row r="140" spans="1:6" x14ac:dyDescent="0.25">
      <c r="F140" s="22">
        <f t="shared" si="2"/>
        <v>0</v>
      </c>
    </row>
    <row r="141" spans="1:6" x14ac:dyDescent="0.25">
      <c r="A141" s="20">
        <v>17.100000000000001</v>
      </c>
      <c r="B141" t="s">
        <v>303</v>
      </c>
      <c r="C141" t="s">
        <v>309</v>
      </c>
      <c r="F141" s="22">
        <f t="shared" si="2"/>
        <v>17.100000000000001</v>
      </c>
    </row>
    <row r="142" spans="1:6" x14ac:dyDescent="0.25">
      <c r="B142" t="s">
        <v>304</v>
      </c>
      <c r="F142" s="22">
        <f t="shared" si="2"/>
        <v>0</v>
      </c>
    </row>
    <row r="143" spans="1:6" x14ac:dyDescent="0.25">
      <c r="B143" t="s">
        <v>305</v>
      </c>
      <c r="F143" s="22">
        <f t="shared" si="2"/>
        <v>0</v>
      </c>
    </row>
    <row r="144" spans="1:6" x14ac:dyDescent="0.25">
      <c r="B144" t="s">
        <v>304</v>
      </c>
      <c r="F144" s="22">
        <f t="shared" si="2"/>
        <v>0</v>
      </c>
    </row>
    <row r="145" spans="1:6" x14ac:dyDescent="0.25">
      <c r="B145" t="s">
        <v>306</v>
      </c>
      <c r="F145" s="22">
        <f t="shared" si="2"/>
        <v>0</v>
      </c>
    </row>
    <row r="146" spans="1:6" x14ac:dyDescent="0.25">
      <c r="B146" t="s">
        <v>304</v>
      </c>
      <c r="F146" s="22">
        <f t="shared" si="2"/>
        <v>0</v>
      </c>
    </row>
    <row r="147" spans="1:6" x14ac:dyDescent="0.25">
      <c r="B147" t="s">
        <v>307</v>
      </c>
      <c r="F147" s="22">
        <f t="shared" si="2"/>
        <v>0</v>
      </c>
    </row>
    <row r="148" spans="1:6" x14ac:dyDescent="0.25">
      <c r="B148" t="s">
        <v>304</v>
      </c>
      <c r="F148" s="22">
        <f t="shared" si="2"/>
        <v>0</v>
      </c>
    </row>
    <row r="149" spans="1:6" x14ac:dyDescent="0.25">
      <c r="B149" t="s">
        <v>308</v>
      </c>
      <c r="F149" s="22">
        <f t="shared" si="2"/>
        <v>0</v>
      </c>
    </row>
    <row r="150" spans="1:6" x14ac:dyDescent="0.25">
      <c r="B150" t="s">
        <v>304</v>
      </c>
      <c r="F150" s="22">
        <f t="shared" si="2"/>
        <v>0</v>
      </c>
    </row>
    <row r="151" spans="1:6" x14ac:dyDescent="0.25">
      <c r="F151" s="22">
        <f t="shared" si="2"/>
        <v>0</v>
      </c>
    </row>
    <row r="152" spans="1:6" x14ac:dyDescent="0.25">
      <c r="A152" s="20">
        <v>17.2</v>
      </c>
      <c r="B152" t="s">
        <v>316</v>
      </c>
      <c r="C152" t="s">
        <v>220</v>
      </c>
      <c r="F152" s="22">
        <f t="shared" si="2"/>
        <v>17.2</v>
      </c>
    </row>
    <row r="153" spans="1:6" x14ac:dyDescent="0.25">
      <c r="B153" t="s">
        <v>313</v>
      </c>
      <c r="F153" s="22">
        <f t="shared" si="2"/>
        <v>0</v>
      </c>
    </row>
    <row r="154" spans="1:6" x14ac:dyDescent="0.25">
      <c r="B154" t="s">
        <v>310</v>
      </c>
      <c r="F154" s="22">
        <f t="shared" si="2"/>
        <v>0</v>
      </c>
    </row>
    <row r="155" spans="1:6" x14ac:dyDescent="0.25">
      <c r="B155" t="s">
        <v>311</v>
      </c>
      <c r="F155" s="22">
        <f t="shared" si="2"/>
        <v>0</v>
      </c>
    </row>
    <row r="156" spans="1:6" x14ac:dyDescent="0.25">
      <c r="B156" t="s">
        <v>312</v>
      </c>
      <c r="F156" s="22">
        <f t="shared" si="2"/>
        <v>0</v>
      </c>
    </row>
    <row r="157" spans="1:6" x14ac:dyDescent="0.25">
      <c r="B157" t="s">
        <v>313</v>
      </c>
      <c r="F157" s="22">
        <f t="shared" si="2"/>
        <v>0</v>
      </c>
    </row>
    <row r="158" spans="1:6" x14ac:dyDescent="0.25">
      <c r="B158" t="s">
        <v>314</v>
      </c>
      <c r="F158" s="22">
        <f t="shared" si="2"/>
        <v>0</v>
      </c>
    </row>
    <row r="159" spans="1:6" x14ac:dyDescent="0.25">
      <c r="B159" t="s">
        <v>311</v>
      </c>
      <c r="F159" s="22">
        <f t="shared" si="2"/>
        <v>0</v>
      </c>
    </row>
    <row r="160" spans="1:6" x14ac:dyDescent="0.25">
      <c r="B160" t="s">
        <v>315</v>
      </c>
      <c r="F160" s="22">
        <f t="shared" si="2"/>
        <v>0</v>
      </c>
    </row>
    <row r="161" spans="1:6" x14ac:dyDescent="0.25">
      <c r="F161" s="22">
        <f t="shared" si="2"/>
        <v>0</v>
      </c>
    </row>
    <row r="162" spans="1:6" x14ac:dyDescent="0.25">
      <c r="A162" s="20">
        <v>17.3</v>
      </c>
      <c r="B162" t="s">
        <v>317</v>
      </c>
      <c r="F162" s="22">
        <f t="shared" si="2"/>
        <v>17.3</v>
      </c>
    </row>
    <row r="163" spans="1:6" x14ac:dyDescent="0.25">
      <c r="B163" t="s">
        <v>318</v>
      </c>
      <c r="F163" s="22">
        <f t="shared" si="2"/>
        <v>0</v>
      </c>
    </row>
    <row r="164" spans="1:6" x14ac:dyDescent="0.25">
      <c r="B164" t="s">
        <v>319</v>
      </c>
      <c r="F164" s="22">
        <f t="shared" si="2"/>
        <v>0</v>
      </c>
    </row>
    <row r="165" spans="1:6" x14ac:dyDescent="0.25">
      <c r="B165" t="s">
        <v>320</v>
      </c>
      <c r="F165" s="22">
        <f t="shared" si="2"/>
        <v>0</v>
      </c>
    </row>
    <row r="166" spans="1:6" x14ac:dyDescent="0.25">
      <c r="B166" t="s">
        <v>321</v>
      </c>
      <c r="F166" s="22">
        <f t="shared" si="2"/>
        <v>0</v>
      </c>
    </row>
    <row r="167" spans="1:6" x14ac:dyDescent="0.25">
      <c r="B167" t="s">
        <v>322</v>
      </c>
      <c r="F167" s="22">
        <f t="shared" si="2"/>
        <v>0</v>
      </c>
    </row>
    <row r="168" spans="1:6" x14ac:dyDescent="0.25">
      <c r="B168" t="s">
        <v>323</v>
      </c>
      <c r="F168" s="22">
        <f t="shared" si="2"/>
        <v>0</v>
      </c>
    </row>
    <row r="169" spans="1:6" x14ac:dyDescent="0.25">
      <c r="B169" t="s">
        <v>324</v>
      </c>
      <c r="F169" s="22">
        <f t="shared" si="2"/>
        <v>0</v>
      </c>
    </row>
    <row r="170" spans="1:6" x14ac:dyDescent="0.25">
      <c r="B170" t="s">
        <v>325</v>
      </c>
      <c r="F170" s="22">
        <f t="shared" si="2"/>
        <v>0</v>
      </c>
    </row>
    <row r="171" spans="1:6" x14ac:dyDescent="0.25">
      <c r="B171" t="s">
        <v>326</v>
      </c>
      <c r="F171" s="22">
        <f t="shared" si="2"/>
        <v>0</v>
      </c>
    </row>
    <row r="172" spans="1:6" x14ac:dyDescent="0.25">
      <c r="B172" t="s">
        <v>327</v>
      </c>
      <c r="F172" s="22">
        <f t="shared" si="2"/>
        <v>0</v>
      </c>
    </row>
    <row r="173" spans="1:6" x14ac:dyDescent="0.25">
      <c r="B173" t="s">
        <v>328</v>
      </c>
      <c r="F173" s="22">
        <f t="shared" si="2"/>
        <v>0</v>
      </c>
    </row>
    <row r="174" spans="1:6" x14ac:dyDescent="0.25">
      <c r="B174" t="s">
        <v>329</v>
      </c>
      <c r="F174" s="22">
        <f t="shared" si="2"/>
        <v>0</v>
      </c>
    </row>
    <row r="175" spans="1:6" x14ac:dyDescent="0.25">
      <c r="B175" t="s">
        <v>330</v>
      </c>
      <c r="F175" s="22">
        <f t="shared" si="2"/>
        <v>0</v>
      </c>
    </row>
    <row r="176" spans="1:6" x14ac:dyDescent="0.25">
      <c r="B176" t="s">
        <v>331</v>
      </c>
      <c r="F176" s="22">
        <f t="shared" si="2"/>
        <v>0</v>
      </c>
    </row>
    <row r="177" spans="1:6" x14ac:dyDescent="0.25">
      <c r="B177" t="s">
        <v>332</v>
      </c>
      <c r="F177" s="22">
        <f t="shared" si="2"/>
        <v>0</v>
      </c>
    </row>
    <row r="178" spans="1:6" x14ac:dyDescent="0.25">
      <c r="B178" t="s">
        <v>333</v>
      </c>
      <c r="F178" s="22">
        <f t="shared" si="2"/>
        <v>0</v>
      </c>
    </row>
    <row r="179" spans="1:6" x14ac:dyDescent="0.25">
      <c r="B179" t="s">
        <v>334</v>
      </c>
      <c r="F179" s="22">
        <f t="shared" si="2"/>
        <v>0</v>
      </c>
    </row>
    <row r="180" spans="1:6" x14ac:dyDescent="0.25">
      <c r="F180" s="22">
        <f t="shared" si="2"/>
        <v>0</v>
      </c>
    </row>
    <row r="181" spans="1:6" x14ac:dyDescent="0.25">
      <c r="A181" s="20">
        <v>17.399999999999999</v>
      </c>
      <c r="B181" t="s">
        <v>335</v>
      </c>
      <c r="C181" t="s">
        <v>297</v>
      </c>
      <c r="F181" s="22">
        <f t="shared" si="2"/>
        <v>17.399999999999999</v>
      </c>
    </row>
    <row r="182" spans="1:6" x14ac:dyDescent="0.25">
      <c r="B182" t="s">
        <v>336</v>
      </c>
      <c r="F182" s="22">
        <f t="shared" si="2"/>
        <v>0</v>
      </c>
    </row>
    <row r="183" spans="1:6" x14ac:dyDescent="0.25">
      <c r="B183" t="s">
        <v>337</v>
      </c>
      <c r="F183" s="22">
        <f t="shared" si="2"/>
        <v>0</v>
      </c>
    </row>
    <row r="184" spans="1:6" x14ac:dyDescent="0.25">
      <c r="B184" t="s">
        <v>338</v>
      </c>
      <c r="F184" s="22">
        <f t="shared" si="2"/>
        <v>0</v>
      </c>
    </row>
    <row r="185" spans="1:6" x14ac:dyDescent="0.25">
      <c r="F185" s="22">
        <f t="shared" si="2"/>
        <v>0</v>
      </c>
    </row>
    <row r="186" spans="1:6" x14ac:dyDescent="0.25">
      <c r="A186" s="20">
        <v>17.5</v>
      </c>
      <c r="B186" t="s">
        <v>340</v>
      </c>
      <c r="C186" t="s">
        <v>339</v>
      </c>
      <c r="F186" s="22">
        <f t="shared" si="2"/>
        <v>17.5</v>
      </c>
    </row>
    <row r="187" spans="1:6" x14ac:dyDescent="0.25">
      <c r="B187" t="s">
        <v>341</v>
      </c>
      <c r="F187" s="22">
        <f t="shared" si="2"/>
        <v>0</v>
      </c>
    </row>
    <row r="188" spans="1:6" x14ac:dyDescent="0.25">
      <c r="F188" s="22">
        <f t="shared" si="2"/>
        <v>0</v>
      </c>
    </row>
    <row r="189" spans="1:6" x14ac:dyDescent="0.25">
      <c r="A189" s="20">
        <v>18.100000000000001</v>
      </c>
      <c r="B189" t="s">
        <v>342</v>
      </c>
      <c r="C189" t="s">
        <v>166</v>
      </c>
      <c r="F189" s="22">
        <f t="shared" si="2"/>
        <v>18.100000000000001</v>
      </c>
    </row>
    <row r="190" spans="1:6" x14ac:dyDescent="0.25">
      <c r="B190" t="s">
        <v>343</v>
      </c>
      <c r="F190" s="22">
        <f t="shared" si="2"/>
        <v>0</v>
      </c>
    </row>
    <row r="191" spans="1:6" x14ac:dyDescent="0.25">
      <c r="B191" t="s">
        <v>344</v>
      </c>
      <c r="F191" s="22">
        <f t="shared" si="2"/>
        <v>0</v>
      </c>
    </row>
    <row r="192" spans="1:6" x14ac:dyDescent="0.25">
      <c r="F192" s="22">
        <f t="shared" si="2"/>
        <v>0</v>
      </c>
    </row>
    <row r="193" spans="1:6" x14ac:dyDescent="0.25">
      <c r="A193" s="20">
        <v>18.2</v>
      </c>
      <c r="B193" t="s">
        <v>345</v>
      </c>
      <c r="C193" t="s">
        <v>347</v>
      </c>
      <c r="F193" s="22">
        <f t="shared" si="2"/>
        <v>18.2</v>
      </c>
    </row>
    <row r="194" spans="1:6" x14ac:dyDescent="0.25">
      <c r="B194" t="s">
        <v>346</v>
      </c>
      <c r="C194" t="s">
        <v>348</v>
      </c>
      <c r="F194" s="22">
        <f t="shared" si="2"/>
        <v>0</v>
      </c>
    </row>
    <row r="195" spans="1:6" x14ac:dyDescent="0.25">
      <c r="F195" s="22">
        <f t="shared" ref="F195:F258" si="3">A195</f>
        <v>0</v>
      </c>
    </row>
    <row r="196" spans="1:6" x14ac:dyDescent="0.25">
      <c r="A196" s="20">
        <v>18.3</v>
      </c>
      <c r="B196" t="s">
        <v>349</v>
      </c>
      <c r="C196" t="s">
        <v>353</v>
      </c>
      <c r="F196" s="22">
        <f t="shared" si="3"/>
        <v>18.3</v>
      </c>
    </row>
    <row r="197" spans="1:6" x14ac:dyDescent="0.25">
      <c r="B197" t="s">
        <v>350</v>
      </c>
      <c r="C197" t="s">
        <v>354</v>
      </c>
      <c r="F197" s="22">
        <f t="shared" si="3"/>
        <v>0</v>
      </c>
    </row>
    <row r="198" spans="1:6" x14ac:dyDescent="0.25">
      <c r="B198" t="s">
        <v>349</v>
      </c>
      <c r="F198" s="22">
        <f t="shared" si="3"/>
        <v>0</v>
      </c>
    </row>
    <row r="199" spans="1:6" x14ac:dyDescent="0.25">
      <c r="B199" t="s">
        <v>351</v>
      </c>
      <c r="F199" s="22">
        <f t="shared" si="3"/>
        <v>0</v>
      </c>
    </row>
    <row r="200" spans="1:6" x14ac:dyDescent="0.25">
      <c r="B200" t="s">
        <v>349</v>
      </c>
      <c r="F200" s="22">
        <f t="shared" si="3"/>
        <v>0</v>
      </c>
    </row>
    <row r="201" spans="1:6" x14ac:dyDescent="0.25">
      <c r="B201" t="s">
        <v>305</v>
      </c>
      <c r="F201" s="22">
        <f t="shared" si="3"/>
        <v>0</v>
      </c>
    </row>
    <row r="202" spans="1:6" x14ac:dyDescent="0.25">
      <c r="B202" t="s">
        <v>349</v>
      </c>
      <c r="F202" s="22">
        <f t="shared" si="3"/>
        <v>0</v>
      </c>
    </row>
    <row r="203" spans="1:6" x14ac:dyDescent="0.25">
      <c r="B203" t="s">
        <v>352</v>
      </c>
      <c r="F203" s="22">
        <f t="shared" si="3"/>
        <v>0</v>
      </c>
    </row>
    <row r="204" spans="1:6" x14ac:dyDescent="0.25">
      <c r="F204" s="22">
        <f t="shared" si="3"/>
        <v>0</v>
      </c>
    </row>
    <row r="205" spans="1:6" x14ac:dyDescent="0.25">
      <c r="A205" s="20">
        <v>18.399999999999999</v>
      </c>
      <c r="B205" t="s">
        <v>168</v>
      </c>
      <c r="C205" t="s">
        <v>259</v>
      </c>
      <c r="F205" s="22">
        <f t="shared" si="3"/>
        <v>18.399999999999999</v>
      </c>
    </row>
    <row r="206" spans="1:6" x14ac:dyDescent="0.25">
      <c r="B206" t="s">
        <v>169</v>
      </c>
      <c r="C206" t="s">
        <v>355</v>
      </c>
      <c r="F206" s="22">
        <f t="shared" si="3"/>
        <v>0</v>
      </c>
    </row>
    <row r="207" spans="1:6" x14ac:dyDescent="0.25">
      <c r="B207" t="s">
        <v>170</v>
      </c>
      <c r="F207" s="22">
        <f t="shared" si="3"/>
        <v>0</v>
      </c>
    </row>
    <row r="208" spans="1:6" x14ac:dyDescent="0.25">
      <c r="B208" t="s">
        <v>171</v>
      </c>
      <c r="F208" s="22">
        <f t="shared" si="3"/>
        <v>0</v>
      </c>
    </row>
    <row r="209" spans="1:6" x14ac:dyDescent="0.25">
      <c r="B209" t="s">
        <v>172</v>
      </c>
      <c r="F209" s="22">
        <f t="shared" si="3"/>
        <v>0</v>
      </c>
    </row>
    <row r="210" spans="1:6" x14ac:dyDescent="0.25">
      <c r="B210" t="s">
        <v>173</v>
      </c>
      <c r="F210" s="22">
        <f t="shared" si="3"/>
        <v>0</v>
      </c>
    </row>
    <row r="211" spans="1:6" x14ac:dyDescent="0.25">
      <c r="B211" t="s">
        <v>174</v>
      </c>
      <c r="F211" s="22">
        <f t="shared" si="3"/>
        <v>0</v>
      </c>
    </row>
    <row r="212" spans="1:6" x14ac:dyDescent="0.25">
      <c r="B212" t="s">
        <v>175</v>
      </c>
      <c r="F212" s="22">
        <f t="shared" si="3"/>
        <v>0</v>
      </c>
    </row>
    <row r="213" spans="1:6" x14ac:dyDescent="0.25">
      <c r="B213" t="s">
        <v>176</v>
      </c>
      <c r="F213" s="22">
        <f t="shared" si="3"/>
        <v>0</v>
      </c>
    </row>
    <row r="214" spans="1:6" x14ac:dyDescent="0.25">
      <c r="B214" t="s">
        <v>175</v>
      </c>
      <c r="F214" s="22">
        <f t="shared" si="3"/>
        <v>0</v>
      </c>
    </row>
    <row r="215" spans="1:6" x14ac:dyDescent="0.25">
      <c r="B215" t="s">
        <v>177</v>
      </c>
      <c r="F215" s="22">
        <f t="shared" si="3"/>
        <v>0</v>
      </c>
    </row>
    <row r="216" spans="1:6" x14ac:dyDescent="0.25">
      <c r="B216" t="s">
        <v>175</v>
      </c>
      <c r="F216" s="22">
        <f t="shared" si="3"/>
        <v>0</v>
      </c>
    </row>
    <row r="217" spans="1:6" x14ac:dyDescent="0.25">
      <c r="F217" s="22">
        <f t="shared" si="3"/>
        <v>0</v>
      </c>
    </row>
    <row r="218" spans="1:6" x14ac:dyDescent="0.25">
      <c r="A218" s="20">
        <v>18.5</v>
      </c>
      <c r="B218" t="s">
        <v>356</v>
      </c>
      <c r="C218" t="s">
        <v>210</v>
      </c>
      <c r="F218" s="22">
        <f t="shared" si="3"/>
        <v>18.5</v>
      </c>
    </row>
    <row r="219" spans="1:6" x14ac:dyDescent="0.25">
      <c r="B219" t="s">
        <v>357</v>
      </c>
      <c r="F219" s="22">
        <f t="shared" si="3"/>
        <v>0</v>
      </c>
    </row>
    <row r="220" spans="1:6" x14ac:dyDescent="0.25">
      <c r="B220" t="s">
        <v>358</v>
      </c>
      <c r="F220" s="22">
        <f t="shared" si="3"/>
        <v>0</v>
      </c>
    </row>
    <row r="221" spans="1:6" x14ac:dyDescent="0.25">
      <c r="B221" t="s">
        <v>359</v>
      </c>
      <c r="F221" s="22">
        <f t="shared" si="3"/>
        <v>0</v>
      </c>
    </row>
    <row r="222" spans="1:6" x14ac:dyDescent="0.25">
      <c r="B222" t="s">
        <v>360</v>
      </c>
      <c r="F222" s="22">
        <f t="shared" si="3"/>
        <v>0</v>
      </c>
    </row>
    <row r="223" spans="1:6" x14ac:dyDescent="0.25">
      <c r="B223" t="s">
        <v>361</v>
      </c>
      <c r="F223" s="22">
        <f t="shared" si="3"/>
        <v>0</v>
      </c>
    </row>
    <row r="224" spans="1:6" x14ac:dyDescent="0.25">
      <c r="B224" t="s">
        <v>362</v>
      </c>
      <c r="F224" s="22">
        <f t="shared" si="3"/>
        <v>0</v>
      </c>
    </row>
    <row r="225" spans="1:6" x14ac:dyDescent="0.25">
      <c r="B225" t="s">
        <v>363</v>
      </c>
      <c r="F225" s="22">
        <f t="shared" si="3"/>
        <v>0</v>
      </c>
    </row>
    <row r="226" spans="1:6" x14ac:dyDescent="0.25">
      <c r="B226" t="s">
        <v>364</v>
      </c>
      <c r="F226" s="22">
        <f t="shared" si="3"/>
        <v>0</v>
      </c>
    </row>
    <row r="227" spans="1:6" x14ac:dyDescent="0.25">
      <c r="B227" t="s">
        <v>365</v>
      </c>
      <c r="F227" s="22">
        <f t="shared" si="3"/>
        <v>0</v>
      </c>
    </row>
    <row r="228" spans="1:6" x14ac:dyDescent="0.25">
      <c r="B228" t="s">
        <v>366</v>
      </c>
      <c r="F228" s="22">
        <f t="shared" si="3"/>
        <v>0</v>
      </c>
    </row>
    <row r="229" spans="1:6" x14ac:dyDescent="0.25">
      <c r="B229" t="s">
        <v>367</v>
      </c>
      <c r="F229" s="22">
        <f t="shared" si="3"/>
        <v>0</v>
      </c>
    </row>
    <row r="230" spans="1:6" x14ac:dyDescent="0.25">
      <c r="F230" s="22">
        <f t="shared" si="3"/>
        <v>0</v>
      </c>
    </row>
    <row r="231" spans="1:6" x14ac:dyDescent="0.25">
      <c r="A231" s="20">
        <v>19.100000000000001</v>
      </c>
      <c r="B231" t="s">
        <v>368</v>
      </c>
      <c r="C231" t="s">
        <v>200</v>
      </c>
      <c r="F231" s="22">
        <f t="shared" si="3"/>
        <v>19.100000000000001</v>
      </c>
    </row>
    <row r="232" spans="1:6" x14ac:dyDescent="0.25">
      <c r="B232" t="s">
        <v>369</v>
      </c>
      <c r="F232" s="22">
        <f t="shared" si="3"/>
        <v>0</v>
      </c>
    </row>
    <row r="233" spans="1:6" x14ac:dyDescent="0.25">
      <c r="F233" s="22">
        <f t="shared" si="3"/>
        <v>0</v>
      </c>
    </row>
    <row r="234" spans="1:6" x14ac:dyDescent="0.25">
      <c r="A234" s="20">
        <v>19.2</v>
      </c>
      <c r="B234" t="s">
        <v>370</v>
      </c>
      <c r="C234" t="s">
        <v>309</v>
      </c>
      <c r="F234" s="22">
        <f t="shared" si="3"/>
        <v>19.2</v>
      </c>
    </row>
    <row r="235" spans="1:6" x14ac:dyDescent="0.25">
      <c r="B235" t="s">
        <v>371</v>
      </c>
      <c r="F235" s="22">
        <f t="shared" si="3"/>
        <v>0</v>
      </c>
    </row>
    <row r="236" spans="1:6" x14ac:dyDescent="0.25">
      <c r="B236" t="s">
        <v>372</v>
      </c>
      <c r="F236" s="22">
        <f t="shared" si="3"/>
        <v>0</v>
      </c>
    </row>
    <row r="237" spans="1:6" x14ac:dyDescent="0.25">
      <c r="B237" t="s">
        <v>373</v>
      </c>
      <c r="F237" s="22">
        <f t="shared" si="3"/>
        <v>0</v>
      </c>
    </row>
    <row r="238" spans="1:6" x14ac:dyDescent="0.25">
      <c r="B238" t="s">
        <v>374</v>
      </c>
      <c r="F238" s="22">
        <f t="shared" si="3"/>
        <v>0</v>
      </c>
    </row>
    <row r="239" spans="1:6" x14ac:dyDescent="0.25">
      <c r="B239" t="s">
        <v>375</v>
      </c>
      <c r="F239" s="22">
        <f t="shared" si="3"/>
        <v>0</v>
      </c>
    </row>
    <row r="240" spans="1:6" x14ac:dyDescent="0.25">
      <c r="B240" t="s">
        <v>370</v>
      </c>
      <c r="F240" s="22">
        <f t="shared" si="3"/>
        <v>0</v>
      </c>
    </row>
    <row r="241" spans="1:6" x14ac:dyDescent="0.25">
      <c r="B241" t="s">
        <v>374</v>
      </c>
      <c r="F241" s="22">
        <f t="shared" si="3"/>
        <v>0</v>
      </c>
    </row>
    <row r="242" spans="1:6" x14ac:dyDescent="0.25">
      <c r="B242" t="s">
        <v>376</v>
      </c>
      <c r="F242" s="22">
        <f t="shared" si="3"/>
        <v>0</v>
      </c>
    </row>
    <row r="243" spans="1:6" x14ac:dyDescent="0.25">
      <c r="B243" t="s">
        <v>370</v>
      </c>
      <c r="F243" s="22">
        <f t="shared" si="3"/>
        <v>0</v>
      </c>
    </row>
    <row r="244" spans="1:6" x14ac:dyDescent="0.25">
      <c r="B244" t="s">
        <v>374</v>
      </c>
      <c r="F244" s="22">
        <f t="shared" si="3"/>
        <v>0</v>
      </c>
    </row>
    <row r="245" spans="1:6" x14ac:dyDescent="0.25">
      <c r="B245" t="s">
        <v>377</v>
      </c>
      <c r="F245" s="22">
        <f t="shared" si="3"/>
        <v>0</v>
      </c>
    </row>
    <row r="246" spans="1:6" x14ac:dyDescent="0.25">
      <c r="B246" t="s">
        <v>370</v>
      </c>
      <c r="F246" s="22">
        <f t="shared" si="3"/>
        <v>0</v>
      </c>
    </row>
    <row r="247" spans="1:6" x14ac:dyDescent="0.25">
      <c r="B247" t="s">
        <v>374</v>
      </c>
      <c r="F247" s="22">
        <f t="shared" si="3"/>
        <v>0</v>
      </c>
    </row>
    <row r="248" spans="1:6" x14ac:dyDescent="0.25">
      <c r="B248" t="s">
        <v>378</v>
      </c>
      <c r="F248" s="22">
        <f t="shared" si="3"/>
        <v>0</v>
      </c>
    </row>
    <row r="249" spans="1:6" x14ac:dyDescent="0.25">
      <c r="F249" s="22">
        <f t="shared" si="3"/>
        <v>0</v>
      </c>
    </row>
    <row r="250" spans="1:6" x14ac:dyDescent="0.25">
      <c r="A250" s="20">
        <v>19.3</v>
      </c>
      <c r="B250" t="s">
        <v>379</v>
      </c>
      <c r="C250" t="s">
        <v>259</v>
      </c>
      <c r="F250" s="22">
        <f t="shared" si="3"/>
        <v>19.3</v>
      </c>
    </row>
    <row r="251" spans="1:6" x14ac:dyDescent="0.25">
      <c r="B251" t="s">
        <v>380</v>
      </c>
      <c r="C251" t="s">
        <v>383</v>
      </c>
      <c r="F251" s="22">
        <f t="shared" si="3"/>
        <v>0</v>
      </c>
    </row>
    <row r="252" spans="1:6" x14ac:dyDescent="0.25">
      <c r="B252" t="s">
        <v>381</v>
      </c>
      <c r="F252" s="22">
        <f t="shared" si="3"/>
        <v>0</v>
      </c>
    </row>
    <row r="253" spans="1:6" x14ac:dyDescent="0.25">
      <c r="B253" t="s">
        <v>382</v>
      </c>
      <c r="F253" s="22">
        <f t="shared" si="3"/>
        <v>0</v>
      </c>
    </row>
    <row r="254" spans="1:6" x14ac:dyDescent="0.25">
      <c r="F254" s="22">
        <f t="shared" si="3"/>
        <v>0</v>
      </c>
    </row>
    <row r="255" spans="1:6" x14ac:dyDescent="0.25">
      <c r="A255" s="20">
        <v>19.399999999999999</v>
      </c>
      <c r="B255" t="s">
        <v>384</v>
      </c>
      <c r="C255" t="s">
        <v>386</v>
      </c>
      <c r="F255" s="22">
        <f t="shared" si="3"/>
        <v>19.399999999999999</v>
      </c>
    </row>
    <row r="256" spans="1:6" x14ac:dyDescent="0.25">
      <c r="B256" t="s">
        <v>385</v>
      </c>
      <c r="C256" t="s">
        <v>387</v>
      </c>
      <c r="F256" s="22">
        <f t="shared" si="3"/>
        <v>0</v>
      </c>
    </row>
    <row r="257" spans="1:6" x14ac:dyDescent="0.25">
      <c r="B257" t="s">
        <v>388</v>
      </c>
      <c r="F257" s="22">
        <f t="shared" si="3"/>
        <v>0</v>
      </c>
    </row>
    <row r="258" spans="1:6" x14ac:dyDescent="0.25">
      <c r="B258" t="s">
        <v>385</v>
      </c>
      <c r="C258" t="s">
        <v>389</v>
      </c>
      <c r="F258" s="22">
        <f t="shared" si="3"/>
        <v>0</v>
      </c>
    </row>
    <row r="259" spans="1:6" x14ac:dyDescent="0.25">
      <c r="F259" s="22">
        <f t="shared" ref="F259:F302" si="4">A259</f>
        <v>0</v>
      </c>
    </row>
    <row r="260" spans="1:6" x14ac:dyDescent="0.25">
      <c r="A260" s="20">
        <v>19.5</v>
      </c>
      <c r="B260" t="s">
        <v>390</v>
      </c>
      <c r="C260" t="s">
        <v>309</v>
      </c>
      <c r="F260" s="22">
        <f t="shared" si="4"/>
        <v>19.5</v>
      </c>
    </row>
    <row r="261" spans="1:6" x14ac:dyDescent="0.25">
      <c r="B261" t="s">
        <v>391</v>
      </c>
      <c r="F261" s="22">
        <f t="shared" si="4"/>
        <v>0</v>
      </c>
    </row>
    <row r="262" spans="1:6" x14ac:dyDescent="0.25">
      <c r="B262" t="s">
        <v>392</v>
      </c>
      <c r="F262" s="22">
        <f t="shared" si="4"/>
        <v>0</v>
      </c>
    </row>
    <row r="263" spans="1:6" x14ac:dyDescent="0.25">
      <c r="F263" s="22">
        <f t="shared" si="4"/>
        <v>0</v>
      </c>
    </row>
    <row r="264" spans="1:6" x14ac:dyDescent="0.25">
      <c r="A264" s="20">
        <v>20.100000000000001</v>
      </c>
      <c r="B264" t="s">
        <v>160</v>
      </c>
      <c r="C264" t="s">
        <v>393</v>
      </c>
      <c r="F264" s="22">
        <f t="shared" si="4"/>
        <v>20.100000000000001</v>
      </c>
    </row>
    <row r="265" spans="1:6" x14ac:dyDescent="0.25">
      <c r="B265" t="s">
        <v>161</v>
      </c>
      <c r="F265" s="22">
        <f t="shared" si="4"/>
        <v>0</v>
      </c>
    </row>
    <row r="266" spans="1:6" x14ac:dyDescent="0.25">
      <c r="B266" t="s">
        <v>162</v>
      </c>
      <c r="F266" s="22">
        <f t="shared" si="4"/>
        <v>0</v>
      </c>
    </row>
    <row r="267" spans="1:6" x14ac:dyDescent="0.25">
      <c r="F267" s="22">
        <f t="shared" si="4"/>
        <v>0</v>
      </c>
    </row>
    <row r="268" spans="1:6" x14ac:dyDescent="0.25">
      <c r="A268" s="20">
        <v>20.2</v>
      </c>
      <c r="B268" t="s">
        <v>394</v>
      </c>
      <c r="F268" s="22">
        <f t="shared" si="4"/>
        <v>20.2</v>
      </c>
    </row>
    <row r="269" spans="1:6" x14ac:dyDescent="0.25">
      <c r="B269" t="s">
        <v>163</v>
      </c>
      <c r="F269" s="22">
        <f t="shared" si="4"/>
        <v>0</v>
      </c>
    </row>
    <row r="270" spans="1:6" x14ac:dyDescent="0.25">
      <c r="B270" t="s">
        <v>164</v>
      </c>
      <c r="F270" s="22">
        <f t="shared" si="4"/>
        <v>0</v>
      </c>
    </row>
    <row r="271" spans="1:6" x14ac:dyDescent="0.25">
      <c r="B271" t="s">
        <v>165</v>
      </c>
      <c r="F271" s="22">
        <f t="shared" si="4"/>
        <v>0</v>
      </c>
    </row>
    <row r="272" spans="1:6" x14ac:dyDescent="0.25">
      <c r="F272" s="22">
        <f t="shared" si="4"/>
        <v>0</v>
      </c>
    </row>
    <row r="273" spans="1:6" x14ac:dyDescent="0.25">
      <c r="A273" s="20" t="s">
        <v>167</v>
      </c>
      <c r="B273" t="s">
        <v>168</v>
      </c>
      <c r="C273" t="s">
        <v>178</v>
      </c>
      <c r="F273" s="22" t="str">
        <f t="shared" si="4"/>
        <v>Open 20.3</v>
      </c>
    </row>
    <row r="274" spans="1:6" x14ac:dyDescent="0.25">
      <c r="B274" t="s">
        <v>169</v>
      </c>
      <c r="F274" s="22">
        <f t="shared" si="4"/>
        <v>0</v>
      </c>
    </row>
    <row r="275" spans="1:6" x14ac:dyDescent="0.25">
      <c r="B275" t="s">
        <v>170</v>
      </c>
      <c r="F275" s="22">
        <f t="shared" si="4"/>
        <v>0</v>
      </c>
    </row>
    <row r="276" spans="1:6" x14ac:dyDescent="0.25">
      <c r="B276" t="s">
        <v>171</v>
      </c>
      <c r="F276" s="22">
        <f t="shared" si="4"/>
        <v>0</v>
      </c>
    </row>
    <row r="277" spans="1:6" x14ac:dyDescent="0.25">
      <c r="B277" t="s">
        <v>172</v>
      </c>
      <c r="F277" s="22">
        <f t="shared" si="4"/>
        <v>0</v>
      </c>
    </row>
    <row r="278" spans="1:6" x14ac:dyDescent="0.25">
      <c r="B278" t="s">
        <v>173</v>
      </c>
      <c r="F278" s="22">
        <f t="shared" si="4"/>
        <v>0</v>
      </c>
    </row>
    <row r="279" spans="1:6" x14ac:dyDescent="0.25">
      <c r="B279" t="s">
        <v>174</v>
      </c>
      <c r="F279" s="22">
        <f t="shared" si="4"/>
        <v>0</v>
      </c>
    </row>
    <row r="280" spans="1:6" x14ac:dyDescent="0.25">
      <c r="B280" t="s">
        <v>175</v>
      </c>
      <c r="F280" s="22">
        <f t="shared" si="4"/>
        <v>0</v>
      </c>
    </row>
    <row r="281" spans="1:6" x14ac:dyDescent="0.25">
      <c r="B281" t="s">
        <v>176</v>
      </c>
      <c r="F281" s="22">
        <f t="shared" si="4"/>
        <v>0</v>
      </c>
    </row>
    <row r="282" spans="1:6" x14ac:dyDescent="0.25">
      <c r="B282" t="s">
        <v>175</v>
      </c>
      <c r="F282" s="22">
        <f t="shared" si="4"/>
        <v>0</v>
      </c>
    </row>
    <row r="283" spans="1:6" x14ac:dyDescent="0.25">
      <c r="B283" t="s">
        <v>177</v>
      </c>
      <c r="F283" s="22">
        <f t="shared" si="4"/>
        <v>0</v>
      </c>
    </row>
    <row r="284" spans="1:6" x14ac:dyDescent="0.25">
      <c r="B284" t="s">
        <v>175</v>
      </c>
      <c r="F284" s="22">
        <f t="shared" si="4"/>
        <v>0</v>
      </c>
    </row>
    <row r="285" spans="1:6" x14ac:dyDescent="0.25">
      <c r="F285" s="22">
        <f t="shared" si="4"/>
        <v>0</v>
      </c>
    </row>
    <row r="286" spans="1:6" x14ac:dyDescent="0.25">
      <c r="F286" s="22">
        <f t="shared" si="4"/>
        <v>0</v>
      </c>
    </row>
    <row r="287" spans="1:6" x14ac:dyDescent="0.25">
      <c r="A287" s="20" t="s">
        <v>179</v>
      </c>
      <c r="B287" t="s">
        <v>180</v>
      </c>
      <c r="C287" t="s">
        <v>188</v>
      </c>
      <c r="F287" s="22" t="str">
        <f t="shared" si="4"/>
        <v>Open 20.4</v>
      </c>
    </row>
    <row r="288" spans="1:6" x14ac:dyDescent="0.25">
      <c r="B288" t="s">
        <v>181</v>
      </c>
      <c r="F288" s="22">
        <f t="shared" si="4"/>
        <v>0</v>
      </c>
    </row>
    <row r="289" spans="1:6" x14ac:dyDescent="0.25">
      <c r="B289" t="s">
        <v>180</v>
      </c>
      <c r="F289" s="22">
        <f t="shared" si="4"/>
        <v>0</v>
      </c>
    </row>
    <row r="290" spans="1:6" x14ac:dyDescent="0.25">
      <c r="B290" t="s">
        <v>182</v>
      </c>
      <c r="F290" s="22">
        <f t="shared" si="4"/>
        <v>0</v>
      </c>
    </row>
    <row r="291" spans="1:6" x14ac:dyDescent="0.25">
      <c r="B291" t="s">
        <v>180</v>
      </c>
      <c r="F291" s="22">
        <f t="shared" si="4"/>
        <v>0</v>
      </c>
    </row>
    <row r="292" spans="1:6" x14ac:dyDescent="0.25">
      <c r="B292" t="s">
        <v>183</v>
      </c>
      <c r="F292" s="22">
        <f t="shared" si="4"/>
        <v>0</v>
      </c>
    </row>
    <row r="293" spans="1:6" x14ac:dyDescent="0.25">
      <c r="B293" t="s">
        <v>184</v>
      </c>
      <c r="F293" s="22">
        <f t="shared" si="4"/>
        <v>0</v>
      </c>
    </row>
    <row r="294" spans="1:6" x14ac:dyDescent="0.25">
      <c r="B294" t="s">
        <v>185</v>
      </c>
      <c r="F294" s="22">
        <f t="shared" si="4"/>
        <v>0</v>
      </c>
    </row>
    <row r="295" spans="1:6" x14ac:dyDescent="0.25">
      <c r="B295" t="s">
        <v>184</v>
      </c>
      <c r="F295" s="22">
        <f t="shared" si="4"/>
        <v>0</v>
      </c>
    </row>
    <row r="296" spans="1:6" x14ac:dyDescent="0.25">
      <c r="B296" t="s">
        <v>186</v>
      </c>
      <c r="F296" s="22">
        <f t="shared" si="4"/>
        <v>0</v>
      </c>
    </row>
    <row r="297" spans="1:6" x14ac:dyDescent="0.25">
      <c r="B297" t="s">
        <v>184</v>
      </c>
      <c r="F297" s="22">
        <f t="shared" si="4"/>
        <v>0</v>
      </c>
    </row>
    <row r="298" spans="1:6" x14ac:dyDescent="0.25">
      <c r="B298" t="s">
        <v>187</v>
      </c>
      <c r="F298" s="22">
        <f t="shared" si="4"/>
        <v>0</v>
      </c>
    </row>
    <row r="299" spans="1:6" x14ac:dyDescent="0.25">
      <c r="F299" s="22">
        <f t="shared" si="4"/>
        <v>0</v>
      </c>
    </row>
    <row r="300" spans="1:6" x14ac:dyDescent="0.25">
      <c r="A300" s="20" t="s">
        <v>189</v>
      </c>
      <c r="B300" t="s">
        <v>190</v>
      </c>
      <c r="C300" t="s">
        <v>193</v>
      </c>
      <c r="F300" s="22" t="str">
        <f t="shared" si="4"/>
        <v>Open 20.5</v>
      </c>
    </row>
    <row r="301" spans="1:6" x14ac:dyDescent="0.25">
      <c r="B301" t="s">
        <v>191</v>
      </c>
      <c r="F301" s="22">
        <f t="shared" si="4"/>
        <v>0</v>
      </c>
    </row>
    <row r="302" spans="1:6" x14ac:dyDescent="0.25">
      <c r="B302" t="s">
        <v>192</v>
      </c>
      <c r="F302" s="22">
        <f t="shared" si="4"/>
        <v>0</v>
      </c>
    </row>
  </sheetData>
  <mergeCells count="1">
    <mergeCell ref="F2:F4"/>
  </mergeCells>
  <phoneticPr fontId="2" type="noConversion"/>
  <pageMargins left="0.7" right="0.7" top="0.75" bottom="0.75" header="0.3" footer="0.3"/>
  <pageSetup scale="58" orientation="landscape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6B757-6165-42FD-B802-6573AB75AA6B}">
  <dimension ref="B2:B13"/>
  <sheetViews>
    <sheetView workbookViewId="0">
      <selection activeCell="B22" sqref="B22"/>
    </sheetView>
  </sheetViews>
  <sheetFormatPr defaultRowHeight="14.3" x14ac:dyDescent="0.25"/>
  <cols>
    <col min="2" max="2" width="81" customWidth="1"/>
  </cols>
  <sheetData>
    <row r="2" spans="2:2" ht="15.65" x14ac:dyDescent="0.25">
      <c r="B2" s="31" t="s">
        <v>498</v>
      </c>
    </row>
    <row r="3" spans="2:2" ht="15.65" x14ac:dyDescent="0.25">
      <c r="B3" s="31" t="s">
        <v>499</v>
      </c>
    </row>
    <row r="4" spans="2:2" ht="15.65" x14ac:dyDescent="0.25">
      <c r="B4" s="31" t="s">
        <v>500</v>
      </c>
    </row>
    <row r="5" spans="2:2" ht="15.65" x14ac:dyDescent="0.25">
      <c r="B5" s="31" t="s">
        <v>501</v>
      </c>
    </row>
    <row r="6" spans="2:2" ht="15.65" x14ac:dyDescent="0.25">
      <c r="B6" s="31" t="s">
        <v>502</v>
      </c>
    </row>
    <row r="7" spans="2:2" ht="15.65" x14ac:dyDescent="0.25">
      <c r="B7" s="31" t="s">
        <v>503</v>
      </c>
    </row>
    <row r="8" spans="2:2" ht="15.65" x14ac:dyDescent="0.25">
      <c r="B8" s="31" t="s">
        <v>504</v>
      </c>
    </row>
    <row r="9" spans="2:2" ht="14.3" customHeight="1" x14ac:dyDescent="0.25">
      <c r="B9" s="258" t="s">
        <v>505</v>
      </c>
    </row>
    <row r="10" spans="2:2" x14ac:dyDescent="0.25">
      <c r="B10" s="258"/>
    </row>
    <row r="11" spans="2:2" x14ac:dyDescent="0.25">
      <c r="B11" s="258"/>
    </row>
    <row r="12" spans="2:2" x14ac:dyDescent="0.25">
      <c r="B12" s="258"/>
    </row>
    <row r="13" spans="2:2" x14ac:dyDescent="0.25">
      <c r="B13" s="258"/>
    </row>
  </sheetData>
  <mergeCells count="1">
    <mergeCell ref="B9:B1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F35D3-CF49-417D-8EF7-273EDCBDE11E}">
  <dimension ref="B2:B16"/>
  <sheetViews>
    <sheetView workbookViewId="0">
      <selection activeCell="F14" sqref="F14"/>
    </sheetView>
  </sheetViews>
  <sheetFormatPr defaultRowHeight="14.3" x14ac:dyDescent="0.25"/>
  <cols>
    <col min="2" max="2" width="64.875" customWidth="1"/>
  </cols>
  <sheetData>
    <row r="2" spans="2:2" ht="15.65" x14ac:dyDescent="0.25">
      <c r="B2" s="31" t="s">
        <v>259</v>
      </c>
    </row>
    <row r="3" spans="2:2" ht="15.65" x14ac:dyDescent="0.25">
      <c r="B3" s="31" t="s">
        <v>507</v>
      </c>
    </row>
    <row r="4" spans="2:2" ht="15.65" x14ac:dyDescent="0.25">
      <c r="B4" s="31" t="s">
        <v>508</v>
      </c>
    </row>
    <row r="5" spans="2:2" ht="15.65" x14ac:dyDescent="0.25">
      <c r="B5" s="31" t="s">
        <v>509</v>
      </c>
    </row>
    <row r="6" spans="2:2" ht="15.65" x14ac:dyDescent="0.25">
      <c r="B6" s="31" t="s">
        <v>510</v>
      </c>
    </row>
    <row r="7" spans="2:2" ht="15.65" x14ac:dyDescent="0.25">
      <c r="B7" s="31" t="s">
        <v>511</v>
      </c>
    </row>
    <row r="8" spans="2:2" ht="15.65" x14ac:dyDescent="0.25">
      <c r="B8" s="31" t="s">
        <v>512</v>
      </c>
    </row>
    <row r="9" spans="2:2" ht="15.65" x14ac:dyDescent="0.25">
      <c r="B9" s="31" t="s">
        <v>51</v>
      </c>
    </row>
    <row r="10" spans="2:2" ht="15.65" x14ac:dyDescent="0.25">
      <c r="B10" s="31" t="s">
        <v>513</v>
      </c>
    </row>
    <row r="11" spans="2:2" ht="15.65" x14ac:dyDescent="0.25">
      <c r="B11" s="31" t="s">
        <v>89</v>
      </c>
    </row>
    <row r="12" spans="2:2" ht="15.65" x14ac:dyDescent="0.25">
      <c r="B12" s="31" t="s">
        <v>514</v>
      </c>
    </row>
    <row r="13" spans="2:2" x14ac:dyDescent="0.25">
      <c r="B13" s="258" t="s">
        <v>515</v>
      </c>
    </row>
    <row r="14" spans="2:2" x14ac:dyDescent="0.25">
      <c r="B14" s="258"/>
    </row>
    <row r="15" spans="2:2" x14ac:dyDescent="0.25">
      <c r="B15" s="258"/>
    </row>
    <row r="16" spans="2:2" x14ac:dyDescent="0.25">
      <c r="B16" s="258"/>
    </row>
  </sheetData>
  <mergeCells count="1">
    <mergeCell ref="B13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PROGRAM</vt:lpstr>
      <vt:lpstr>AMRAP</vt:lpstr>
      <vt:lpstr>EMOM</vt:lpstr>
      <vt:lpstr>Chipper</vt:lpstr>
      <vt:lpstr>Ladder</vt:lpstr>
      <vt:lpstr>Tabata</vt:lpstr>
      <vt:lpstr>The Girls</vt:lpstr>
      <vt:lpstr>The Heroes</vt:lpstr>
      <vt:lpstr>Open</vt:lpstr>
      <vt:lpstr>WOD Reference</vt:lpstr>
      <vt:lpstr>Program Detailing</vt:lpstr>
      <vt:lpstr>FGB</vt:lpstr>
      <vt:lpstr>Filthy Fifty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RoverConcepts</dc:creator>
  <cp:lastModifiedBy>RoverConcepts</cp:lastModifiedBy>
  <dcterms:created xsi:type="dcterms:W3CDTF">2020-07-20T15:38:03Z</dcterms:created>
  <dcterms:modified xsi:type="dcterms:W3CDTF">2020-08-07T00:27:22Z</dcterms:modified>
</cp:coreProperties>
</file>